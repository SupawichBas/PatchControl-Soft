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omments1.xml" ContentType="application/vnd.openxmlformats-officedocument.spreadsheetml.comments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ftsquare1999-my.sharepoint.com/personal/supawich_j_softsquaregroup_com/Documents/PatchControl/"/>
    </mc:Choice>
  </mc:AlternateContent>
  <xr:revisionPtr revIDLastSave="3000" documentId="8_{566CFD9D-12CE-4FF4-83B7-B9A43B5FB93A}" xr6:coauthVersionLast="47" xr6:coauthVersionMax="47" xr10:uidLastSave="{EACCBD5D-C665-4192-9441-98057093401E}"/>
  <bookViews>
    <workbookView xWindow="-110" yWindow="-110" windowWidth="19420" windowHeight="11500" firstSheet="1" activeTab="7" xr2:uid="{A5F3D11A-A8DC-4998-B24B-D407D438FC22}"/>
  </bookViews>
  <sheets>
    <sheet name="ERP" sheetId="16" r:id="rId1"/>
    <sheet name="SKC" sheetId="13" r:id="rId2"/>
    <sheet name="burgundy-std" sheetId="20" r:id="rId3"/>
    <sheet name="burgundy-knex" sheetId="11" r:id="rId4"/>
    <sheet name="NPRU" sheetId="15" r:id="rId5"/>
    <sheet name="PGVIM" sheetId="17" r:id="rId6"/>
    <sheet name="ICCS" sheetId="18" r:id="rId7"/>
    <sheet name="ECT" sheetId="19" r:id="rId8"/>
    <sheet name="Sheet1" sheetId="14" r:id="rId9"/>
  </sheets>
  <definedNames>
    <definedName name="ExternalData_1" localSheetId="3" hidden="1">'burgundy-knex'!$E$1:$J$73</definedName>
    <definedName name="ExternalData_1" localSheetId="2" hidden="1">'burgundy-std'!$F$1:$K$13</definedName>
    <definedName name="ExternalData_1" localSheetId="7" hidden="1">ECT!$E$1:$J$83</definedName>
    <definedName name="ExternalData_1" localSheetId="0" hidden="1">ERP!$E$1:$J$2</definedName>
    <definedName name="ExternalData_1" localSheetId="6" hidden="1">ICCS!$F$1:$K$94</definedName>
    <definedName name="ExternalData_1" localSheetId="4" hidden="1">NPRU!$E$1:$J$29</definedName>
    <definedName name="ExternalData_1" localSheetId="5" hidden="1">PGVIM!$E$1:$J$140</definedName>
    <definedName name="ExternalData_1" localSheetId="1" hidden="1">SKC!$E$1:$J$15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17" l="1"/>
  <c r="D140" i="17"/>
  <c r="D29" i="15"/>
  <c r="D81" i="19"/>
  <c r="D82" i="19"/>
  <c r="D83" i="19"/>
  <c r="D136" i="17"/>
  <c r="D137" i="17"/>
  <c r="D138" i="17"/>
  <c r="D80" i="19"/>
  <c r="D72" i="11"/>
  <c r="D73" i="11"/>
  <c r="E7" i="20"/>
  <c r="E8" i="20"/>
  <c r="E9" i="20"/>
  <c r="E10" i="20"/>
  <c r="E11" i="20"/>
  <c r="E12" i="20"/>
  <c r="E13" i="20"/>
  <c r="D77" i="19"/>
  <c r="D78" i="19"/>
  <c r="D79" i="19"/>
  <c r="D64" i="11"/>
  <c r="D65" i="11"/>
  <c r="D66" i="11"/>
  <c r="D67" i="11"/>
  <c r="D68" i="11"/>
  <c r="D69" i="11"/>
  <c r="D70" i="11"/>
  <c r="D71" i="11"/>
  <c r="E6" i="20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52" i="19"/>
  <c r="D53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59" i="11"/>
  <c r="D60" i="11"/>
  <c r="D61" i="11"/>
  <c r="D62" i="11"/>
  <c r="D63" i="11"/>
  <c r="D7" i="19"/>
  <c r="D8" i="19"/>
  <c r="D9" i="19"/>
  <c r="D10" i="19"/>
  <c r="D11" i="19"/>
  <c r="E94" i="18"/>
  <c r="E93" i="18"/>
  <c r="D134" i="17"/>
  <c r="D135" i="17"/>
  <c r="E92" i="18"/>
  <c r="D133" i="17"/>
  <c r="D14" i="13"/>
  <c r="D15" i="13"/>
  <c r="D130" i="17"/>
  <c r="D131" i="17"/>
  <c r="D132" i="17"/>
  <c r="D6" i="19"/>
  <c r="D5" i="19"/>
  <c r="D4" i="19"/>
  <c r="D129" i="17"/>
  <c r="E91" i="18"/>
  <c r="D13" i="13"/>
  <c r="D12" i="13"/>
  <c r="D11" i="13"/>
  <c r="D127" i="17"/>
  <c r="D128" i="17"/>
  <c r="E87" i="18"/>
  <c r="E88" i="18"/>
  <c r="E89" i="18"/>
  <c r="E90" i="18"/>
  <c r="D125" i="17"/>
  <c r="D126" i="17"/>
  <c r="E84" i="18"/>
  <c r="E85" i="18"/>
  <c r="E86" i="18"/>
  <c r="D124" i="17"/>
  <c r="D121" i="17"/>
  <c r="D122" i="17"/>
  <c r="D123" i="17"/>
  <c r="D58" i="11"/>
  <c r="D113" i="17"/>
  <c r="D114" i="17"/>
  <c r="D115" i="17"/>
  <c r="D116" i="17"/>
  <c r="D117" i="17"/>
  <c r="D118" i="17"/>
  <c r="D119" i="17"/>
  <c r="D120" i="17"/>
  <c r="D112" i="17"/>
  <c r="D108" i="17"/>
  <c r="D109" i="17"/>
  <c r="D110" i="17"/>
  <c r="D111" i="17"/>
  <c r="E77" i="18"/>
  <c r="E78" i="18"/>
  <c r="E79" i="18"/>
  <c r="E80" i="18"/>
  <c r="E81" i="18"/>
  <c r="E82" i="18"/>
  <c r="E83" i="18"/>
  <c r="E76" i="18"/>
  <c r="E74" i="18"/>
  <c r="E75" i="18"/>
  <c r="E67" i="18"/>
  <c r="E68" i="18"/>
  <c r="E69" i="18"/>
  <c r="E70" i="18"/>
  <c r="E71" i="18"/>
  <c r="E72" i="18"/>
  <c r="E73" i="18"/>
  <c r="D56" i="11"/>
  <c r="D57" i="11"/>
  <c r="D10" i="13"/>
  <c r="D55" i="11"/>
  <c r="E64" i="18"/>
  <c r="E65" i="18"/>
  <c r="E66" i="18"/>
  <c r="E62" i="18"/>
  <c r="E63" i="18"/>
  <c r="E59" i="18"/>
  <c r="E60" i="18"/>
  <c r="E61" i="18"/>
  <c r="D49" i="11"/>
  <c r="D50" i="11"/>
  <c r="D51" i="11"/>
  <c r="D52" i="11"/>
  <c r="D53" i="11"/>
  <c r="D54" i="11"/>
  <c r="D105" i="17"/>
  <c r="D106" i="17"/>
  <c r="D107" i="17"/>
  <c r="E58" i="18"/>
  <c r="E56" i="18"/>
  <c r="E57" i="18"/>
  <c r="E52" i="18"/>
  <c r="E53" i="18"/>
  <c r="E54" i="18"/>
  <c r="E55" i="18"/>
  <c r="D101" i="17"/>
  <c r="D102" i="17"/>
  <c r="D103" i="17"/>
  <c r="D104" i="17"/>
  <c r="E51" i="18"/>
  <c r="E47" i="18"/>
  <c r="E48" i="18"/>
  <c r="E49" i="18"/>
  <c r="E50" i="18"/>
  <c r="D28" i="15"/>
  <c r="D97" i="17"/>
  <c r="D98" i="17"/>
  <c r="D99" i="17"/>
  <c r="D100" i="17"/>
  <c r="E46" i="18"/>
  <c r="E41" i="18"/>
  <c r="E42" i="18"/>
  <c r="E43" i="18"/>
  <c r="E44" i="18"/>
  <c r="E45" i="18"/>
  <c r="E40" i="18"/>
  <c r="D96" i="17"/>
  <c r="E37" i="18"/>
  <c r="E38" i="18"/>
  <c r="E39" i="18"/>
  <c r="D94" i="17"/>
  <c r="D95" i="17"/>
  <c r="E36" i="18"/>
  <c r="D91" i="17"/>
  <c r="D92" i="17"/>
  <c r="D93" i="17"/>
  <c r="D88" i="17"/>
  <c r="D89" i="17"/>
  <c r="D90" i="17"/>
  <c r="D87" i="17"/>
  <c r="D86" i="17"/>
  <c r="E35" i="18"/>
  <c r="E30" i="18"/>
  <c r="E31" i="18"/>
  <c r="E32" i="18"/>
  <c r="E33" i="18"/>
  <c r="E34" i="18"/>
  <c r="E5" i="20"/>
  <c r="E3" i="20"/>
  <c r="E4" i="20"/>
  <c r="E2" i="20"/>
  <c r="D85" i="17"/>
  <c r="D84" i="17"/>
  <c r="D83" i="17"/>
  <c r="E21" i="18"/>
  <c r="E22" i="18"/>
  <c r="E23" i="18"/>
  <c r="E24" i="18"/>
  <c r="E25" i="18"/>
  <c r="E26" i="18"/>
  <c r="E27" i="18"/>
  <c r="E28" i="18"/>
  <c r="E29" i="18"/>
  <c r="D82" i="17"/>
  <c r="D81" i="17"/>
  <c r="E19" i="18"/>
  <c r="E20" i="18"/>
  <c r="D80" i="17"/>
  <c r="D79" i="17"/>
  <c r="E15" i="18"/>
  <c r="E16" i="18"/>
  <c r="E17" i="18"/>
  <c r="E18" i="18"/>
  <c r="D27" i="15"/>
  <c r="D9" i="13"/>
  <c r="E11" i="18"/>
  <c r="E12" i="18"/>
  <c r="E13" i="18"/>
  <c r="E14" i="18"/>
  <c r="D77" i="17"/>
  <c r="D78" i="17"/>
  <c r="D76" i="17"/>
  <c r="D75" i="17"/>
  <c r="D74" i="17"/>
  <c r="D48" i="11"/>
  <c r="E7" i="18"/>
  <c r="E8" i="18"/>
  <c r="E9" i="18"/>
  <c r="E10" i="18"/>
  <c r="D24" i="15"/>
  <c r="D25" i="15"/>
  <c r="D26" i="15"/>
  <c r="D67" i="17"/>
  <c r="D68" i="17"/>
  <c r="D69" i="17"/>
  <c r="D70" i="17"/>
  <c r="D71" i="17"/>
  <c r="D72" i="17"/>
  <c r="D73" i="17"/>
  <c r="D22" i="15"/>
  <c r="D23" i="15"/>
  <c r="D62" i="17"/>
  <c r="D63" i="17"/>
  <c r="D64" i="17"/>
  <c r="D65" i="17"/>
  <c r="D66" i="17"/>
  <c r="D21" i="15"/>
  <c r="D20" i="15"/>
  <c r="D61" i="17"/>
  <c r="D51" i="17"/>
  <c r="D52" i="17"/>
  <c r="D53" i="17"/>
  <c r="D54" i="17"/>
  <c r="D55" i="17"/>
  <c r="D56" i="17"/>
  <c r="D57" i="17"/>
  <c r="D58" i="17"/>
  <c r="D59" i="17"/>
  <c r="D60" i="17"/>
  <c r="D49" i="17"/>
  <c r="D50" i="17"/>
  <c r="D45" i="17"/>
  <c r="D46" i="17"/>
  <c r="D47" i="17"/>
  <c r="D48" i="17"/>
  <c r="D41" i="17"/>
  <c r="D42" i="17"/>
  <c r="D43" i="17"/>
  <c r="D44" i="17"/>
  <c r="D38" i="17"/>
  <c r="D39" i="17"/>
  <c r="D40" i="17"/>
  <c r="D7" i="13"/>
  <c r="D8" i="13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19" i="17"/>
  <c r="D20" i="17"/>
  <c r="D21" i="17"/>
  <c r="D22" i="17"/>
  <c r="D23" i="17"/>
  <c r="D15" i="17"/>
  <c r="D13" i="17"/>
  <c r="D14" i="17"/>
  <c r="D16" i="17"/>
  <c r="D17" i="17"/>
  <c r="D18" i="17"/>
  <c r="D12" i="17"/>
  <c r="D46" i="11"/>
  <c r="D47" i="11"/>
  <c r="D13" i="15"/>
  <c r="D14" i="15"/>
  <c r="D15" i="15"/>
  <c r="D16" i="15"/>
  <c r="D17" i="15"/>
  <c r="D18" i="15"/>
  <c r="D19" i="15"/>
  <c r="D11" i="17"/>
  <c r="E6" i="18"/>
  <c r="D10" i="17"/>
  <c r="E5" i="18"/>
  <c r="D3" i="19"/>
  <c r="D12" i="15"/>
  <c r="D11" i="15"/>
  <c r="D6" i="15"/>
  <c r="D7" i="15"/>
  <c r="D8" i="15"/>
  <c r="D9" i="15"/>
  <c r="D10" i="15"/>
  <c r="D2" i="17"/>
  <c r="D3" i="17"/>
  <c r="D4" i="17"/>
  <c r="D5" i="17"/>
  <c r="D6" i="17"/>
  <c r="D7" i="17"/>
  <c r="D9" i="17"/>
  <c r="D8" i="17"/>
  <c r="D2" i="19"/>
  <c r="D2" i="16"/>
  <c r="D3" i="13"/>
  <c r="D4" i="13"/>
  <c r="D5" i="13"/>
  <c r="D6" i="13"/>
  <c r="D2" i="13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2" i="11"/>
  <c r="D3" i="15"/>
  <c r="D4" i="15"/>
  <c r="D5" i="15"/>
  <c r="D2" i="15"/>
  <c r="E2" i="18"/>
  <c r="E3" i="18"/>
  <c r="E4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BasS</author>
  </authors>
  <commentList>
    <comment ref="C91" authorId="0" shapeId="0" xr:uid="{64541FF7-6FFB-42C4-B7D8-82C1A22609F4}">
      <text>
        <r>
          <rPr>
            <b/>
            <sz val="9"/>
            <color indexed="81"/>
            <rFont val="Tahoma"/>
            <family val="2"/>
          </rPr>
          <t>BasS:
หลังจากนี้ไป PRODแล้ว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BasS</author>
  </authors>
  <commentList>
    <comment ref="C77" authorId="0" shapeId="0" xr:uid="{69A932E9-8A2A-4321-9EB9-D5469F25B172}">
      <text>
        <r>
          <rPr>
            <b/>
            <sz val="9"/>
            <color indexed="81"/>
            <rFont val="Tahoma"/>
            <family val="2"/>
          </rPr>
          <t>BasS:
หลังจากนี้ไป PRODแล้ว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47BFF-5501-42AB-AC63-23F525D1574E}" keepAlive="1" name="Query - burgundy-knex (2)" description="Connection to the 'burgundy-knex (2)' query in the workbook." type="5" refreshedVersion="8" background="1" saveData="1">
    <dbPr connection="Provider=Microsoft.Mashup.OleDb.1;Data Source=$Workbook$;Location=&quot;burgundy-knex (2)&quot;;Extended Properties=&quot;&quot;" command="SELECT * FROM [burgundy-knex (2)]"/>
  </connection>
  <connection id="2" xr16:uid="{8494EF18-7C61-4AB9-9B53-884E1522ECB2}" keepAlive="1" name="Query - burgundy-std" description="Connection to the 'burgundy-std' query in the workbook." type="5" refreshedVersion="8" background="1" saveData="1">
    <dbPr connection="Provider=Microsoft.Mashup.OleDb.1;Data Source=$Workbook$;Location=burgundy-std;Extended Properties=&quot;&quot;" command="SELECT * FROM [burgundy-std]"/>
  </connection>
  <connection id="3" xr16:uid="{6EE74250-F6D7-431D-B7A6-6A05E2447F22}" keepAlive="1" name="Query - ECT" description="Connection to the 'ECT' query in the workbook." type="5" refreshedVersion="8" background="1" saveData="1">
    <dbPr connection="Provider=Microsoft.Mashup.OleDb.1;Data Source=$Workbook$;Location=ECT;Extended Properties=&quot;&quot;" command="SELECT * FROM [ECT]"/>
  </connection>
  <connection id="4" xr16:uid="{5BA53DAE-C2B2-46E8-B3F1-658A54FA842F}" keepAlive="1" name="Query - ERP" description="Connection to the 'ERP' query in the workbook." type="5" refreshedVersion="8" background="1" saveData="1">
    <dbPr connection="Provider=Microsoft.Mashup.OleDb.1;Data Source=$Workbook$;Location=ERP;Extended Properties=&quot;&quot;" command="SELECT * FROM [ERP]"/>
  </connection>
  <connection id="5" xr16:uid="{64D41519-7F33-4BF8-8E40-A2E66A0E8914}" keepAlive="1" name="Query - ICCS" description="Connection to the 'ICCS' query in the workbook." type="5" refreshedVersion="8" background="1" saveData="1">
    <dbPr connection="Provider=Microsoft.Mashup.OleDb.1;Data Source=$Workbook$;Location=ICCS;Extended Properties=&quot;&quot;" command="SELECT * FROM [ICCS]"/>
  </connection>
  <connection id="6" xr16:uid="{C25DFC79-4320-41DA-965B-2ABFBCBD44E9}" keepAlive="1" name="Query - NPRU" description="Connection to the 'NPRU' query in the workbook." type="5" refreshedVersion="8" background="1" saveData="1">
    <dbPr connection="Provider=Microsoft.Mashup.OleDb.1;Data Source=$Workbook$;Location=NPRU;Extended Properties=&quot;&quot;" command="SELECT * FROM [NPRU]"/>
  </connection>
  <connection id="7" xr16:uid="{D2D7528B-1E8C-4A0D-A29C-90995077E8E8}" keepAlive="1" name="Query - PGVIM" description="Connection to the 'PGVIM' query in the workbook." type="5" refreshedVersion="8" background="1" saveData="1">
    <dbPr connection="Provider=Microsoft.Mashup.OleDb.1;Data Source=$Workbook$;Location=PGVIM;Extended Properties=&quot;&quot;" command="SELECT * FROM [PGVIM]"/>
  </connection>
  <connection id="8" xr16:uid="{2326EA1A-2F8F-40F1-9BB6-D6062E27091D}" keepAlive="1" name="Query - SKC" description="Connection to the 'SKC' query in the workbook." type="5" refreshedVersion="8" background="1" saveData="1">
    <dbPr connection="Provider=Microsoft.Mashup.OleDb.1;Data Source=$Workbook$;Location=SKC;Extended Properties=&quot;&quot;" command="SELECT * FROM [SKC]"/>
  </connection>
</connections>
</file>

<file path=xl/sharedStrings.xml><?xml version="1.0" encoding="utf-8"?>
<sst xmlns="http://schemas.openxmlformats.org/spreadsheetml/2006/main" count="1397" uniqueCount="561">
  <si>
    <t>Name</t>
  </si>
  <si>
    <t>Extension</t>
  </si>
  <si>
    <t>Date accessed</t>
  </si>
  <si>
    <t>Date modified</t>
  </si>
  <si>
    <t>Date created</t>
  </si>
  <si>
    <t>Folder Path</t>
  </si>
  <si>
    <t>20250826_00_function_get_exists_on_report.sql</t>
  </si>
  <si>
    <t>20250826_01_function_report_smavrp01.sql</t>
  </si>
  <si>
    <t>20250826_02_function_report_smavrp01_excel.sql</t>
  </si>
  <si>
    <t>20250826_03_function_report_smavrp02.sql</t>
  </si>
  <si>
    <t>20250826_04_function_report_smavrp02_sub.sql</t>
  </si>
  <si>
    <t>20250826_05_function_report_smavrp03.sql</t>
  </si>
  <si>
    <t>20250826_06_function_report_smexrp01.sql</t>
  </si>
  <si>
    <t>20250826_07_function_report_smexrp02.sql</t>
  </si>
  <si>
    <t>20250826_08_function_report_smprqrp01.sql</t>
  </si>
  <si>
    <t>20250826_09_function_report_smprqrp02.sql</t>
  </si>
  <si>
    <t>20250826_10_function_report_smsumrp05.sql</t>
  </si>
  <si>
    <t>20250826_11_function_report_smsumrp06.sql</t>
  </si>
  <si>
    <t>20250826_12_function_report_smsumrp07.sql</t>
  </si>
  <si>
    <t>20250826_13_function_report_smsumrp08.sql</t>
  </si>
  <si>
    <t>20250826_14_function_report_smexallrp.sql</t>
  </si>
  <si>
    <t>DEV</t>
  </si>
  <si>
    <t>UAT</t>
  </si>
  <si>
    <t>PROD</t>
  </si>
  <si>
    <t>.sql</t>
  </si>
  <si>
    <t>20250827_00_ALTER_TABLE_ta_document_traveller.sql</t>
  </si>
  <si>
    <t>20250827_01_su_program_label_TADT02.sql</t>
  </si>
  <si>
    <t>20250827_02_su_system_configuration_NavigateReport.sql</t>
  </si>
  <si>
    <t>20250829_00_report_smavrp03;.sql</t>
  </si>
  <si>
    <t>20250829_01_su_report_label_SMEXRP02.sql</t>
  </si>
  <si>
    <t>20250829_02_report_smexrp01.sql</t>
  </si>
  <si>
    <t>20250825_00_DoaJL(shared).sql</t>
  </si>
  <si>
    <t>C:\Users\BasS\Desktop\ALL-Script\PatchControl\SKC\</t>
  </si>
  <si>
    <t>20250825_01_DoaJLAuthorize(shared).sql</t>
  </si>
  <si>
    <t>20250825_02_DoaPL(shared).sql</t>
  </si>
  <si>
    <t>20250825_03_DoaPLAuthorize(shared).sql</t>
  </si>
  <si>
    <t>20250828_04_Update_DbDocStatus.sql</t>
  </si>
  <si>
    <t>20250901_00_CREATE TABLE report_income_expense.sql</t>
  </si>
  <si>
    <t>C:\Users\BasS\Desktop\ALL-Script\PatchControl\burgundy-knex\20250901\</t>
  </si>
  <si>
    <t>20250901_01_CREATE TABLE report_income_expense_lang.sql</t>
  </si>
  <si>
    <t>20250901_02_INSERT INTO report_income_expense.sql</t>
  </si>
  <si>
    <t>20250901_03_INSERT INTO report_income_expense_lang.sql</t>
  </si>
  <si>
    <t>20250901_04_get_db_income_expense_group_lang.sql</t>
  </si>
  <si>
    <t>20250901_05_get_expense_amount.sql</t>
  </si>
  <si>
    <t>20250904_00_db_list_value_lang.sql</t>
  </si>
  <si>
    <t>C:\Users\BasS\Desktop\ALL-Script\PatchControl\NPRU\20250904\</t>
  </si>
  <si>
    <t>C:\Users\BasS\Desktop\ALL-Script\PatchControl\burgundy-knex\20250826\</t>
  </si>
  <si>
    <t>C:\Users\BasS\Desktop\ALL-Script\PatchControl\burgundy-knex\20250827\</t>
  </si>
  <si>
    <t>C:\Users\BasS\Desktop\ALL-Script\PatchControl\burgundy-knex\20250829\</t>
  </si>
  <si>
    <t>20250903_00_report_smavrp01.sql</t>
  </si>
  <si>
    <t>C:\Users\BasS\Desktop\ALL-Script\PatchControl\burgundy-knex\20250903\</t>
  </si>
  <si>
    <t>20250903_01_report_smavrp01_excel.sql</t>
  </si>
  <si>
    <t>20250903_02_report_smavrp02.sql</t>
  </si>
  <si>
    <t>20250903_03_report_smavrp02_sub.sql</t>
  </si>
  <si>
    <t>20250903_04_report_smavrp03.sql</t>
  </si>
  <si>
    <t>20250903_05_report_smavrp03_excel.sql</t>
  </si>
  <si>
    <t>20250903_06_report_smavrp03_sub2.sql</t>
  </si>
  <si>
    <t>20250903_07_report_smexrp01.sql</t>
  </si>
  <si>
    <t>20250903_08_report_smexrp02.sql</t>
  </si>
  <si>
    <t>20250903_09_report_smexrp02_sub.sql</t>
  </si>
  <si>
    <t>20250904_00_CREATE TABLE db_cost_center_default_approval.sql</t>
  </si>
  <si>
    <t>C:\Users\BasS\Desktop\ALL-Script\PatchControl\burgundy-knex\20250904\</t>
  </si>
  <si>
    <t>20250904_01_su_program_label_SMDBRT19.sql</t>
  </si>
  <si>
    <t>20250904_02_report_smpcod02.sql</t>
  </si>
  <si>
    <t>20250904_03_su_report_label_SMPCOD06_SMPCOD08.sql</t>
  </si>
  <si>
    <t>20250905_00_SU_N_ALERT.sql</t>
  </si>
  <si>
    <t>C:\Users\BasS\Desktop\ALL-Script\PatchControl\ERP\20250905\</t>
  </si>
  <si>
    <t>20250910_00_UPDATE_db_list_value_TravelBy_Seq.sql</t>
  </si>
  <si>
    <t>C:\Users\BasS\Desktop\ALL-Script\PatchControl\burgundy-knex\20250910\</t>
  </si>
  <si>
    <t>20250910_01_db_list_value_TravelBy.sql</t>
  </si>
  <si>
    <t>20250912_db_parameter.sql</t>
  </si>
  <si>
    <t>C:\Users\BasS\Desktop\ALL-Script\PatchControl\PGVIM\20250912\</t>
  </si>
  <si>
    <t>20250915_00_DELETE FROM su_profile_menu.sql</t>
  </si>
  <si>
    <t>C:\Users\BasS\Desktop\ALL-Script\PatchControl\PGVIM\20250915\</t>
  </si>
  <si>
    <t>20250915_01_DELETE FROM su_menu.sql</t>
  </si>
  <si>
    <t>C:\Users\BasS\Desktop\ALL-Script\PatchControl\ICCS\20250912\</t>
  </si>
  <si>
    <t>20250915_00_DELETE FROM su_program POOR.sql</t>
  </si>
  <si>
    <t>C:\Users\BasS\Desktop\ALL-Script\PatchControl\NPRU\20250915\</t>
  </si>
  <si>
    <t>20250915_02_DELETE FROM su_program POOR.sql</t>
  </si>
  <si>
    <t>C:\Users\BasS\Desktop\ALL-Script\PatchControl\ICCS\20250915\</t>
  </si>
  <si>
    <t>20250916_00_alter_tabel_ta_document.sql</t>
  </si>
  <si>
    <t>C:\Users\BasS\Desktop\ALL-Script\PatchControl\burgundy-knex\20250916\</t>
  </si>
  <si>
    <t>20250915_01_function_get_product_name.sql</t>
  </si>
  <si>
    <t>20250916_00_migrage_INSERT INTO po_service.sql</t>
  </si>
  <si>
    <t>C:\Users\BasS\Desktop\ALL-Script\PatchControl\PGVIM\20250916\</t>
  </si>
  <si>
    <t>20250916_01_migrage_INSERT INTO po_service_lang.sql</t>
  </si>
  <si>
    <t>20250917_00_drop function report_pood07;.sql</t>
  </si>
  <si>
    <t>C:\Users\BasS\Desktop\ALL-Script\PatchControl\PGVIM\20250917\</t>
  </si>
  <si>
    <t>20250917_00_UPDATE_POOD06_INSERT_POOD07_su_report_label.sql</t>
  </si>
  <si>
    <t>C:\Users\BasS\Desktop\ALL-Script\PatchControl\NPRU\20250917\</t>
  </si>
  <si>
    <t>20250917_01_UPDATE_POOD06_INSERT_POOD07_su_report_label.sql</t>
  </si>
  <si>
    <t>C:\Users\BasS\Desktop\ALL-Script\PatchControl\ICCS\20250917\</t>
  </si>
  <si>
    <t>C:\Users\BasS\Desktop\ALL-Script\PatchControl\ECT\20250917\</t>
  </si>
  <si>
    <t>20250922_00_drop function report_porp01;.sql</t>
  </si>
  <si>
    <t>C:\Users\BasS\Desktop\ALL-Script\PatchControl\NPRU\20250922\</t>
  </si>
  <si>
    <t>20250922_01_drop function report_porp02;.sql</t>
  </si>
  <si>
    <t>20250922_02_drop function report_porp03;.sql</t>
  </si>
  <si>
    <t>20250922_03_drop function report_porp04;.sql</t>
  </si>
  <si>
    <t>20250922_06_drop function report_porp05;.sql</t>
  </si>
  <si>
    <t>20250917_01_drop function report_pood07;.sql</t>
  </si>
  <si>
    <t>20250923_01_alter_tabel_po_committee_type_lang.sql</t>
  </si>
  <si>
    <t>C:\Users\BasS\Desktop\ALL-Script\PatchControl\NPRU\20250923\</t>
  </si>
  <si>
    <t>C:\Users\BasS\Desktop\ALL-Script\PatchControl\PGVIM\20250923\</t>
  </si>
  <si>
    <t>C:\Users\BasS\Desktop\ALL-Script\PatchControl\ICCS\20250923\</t>
  </si>
  <si>
    <t>C:\Users\BasS\Desktop\ALL-Script\PatchControl\ECT\20250923\</t>
  </si>
  <si>
    <t>20250924_01_update program name smdbrt19.sql</t>
  </si>
  <si>
    <t>C:\Users\BasS\Desktop\ALL-Script\PatchControl\burgundy-knex\20250924\</t>
  </si>
  <si>
    <t>20250924_02_insert label smdbrt11.sql</t>
  </si>
  <si>
    <t>20251003_01_INSERT_su_program_POOD12.sql</t>
  </si>
  <si>
    <t>C:\Users\BasS\Desktop\ALL-Script\PatchControl\NPRU\20251003\</t>
  </si>
  <si>
    <t>20251003_02_INSERT INTO su_report_label_POOD12.sql</t>
  </si>
  <si>
    <t>20251003_03_INSERT INTO su_program_label_PODT04.sql</t>
  </si>
  <si>
    <t>20251003_04_report_pood12.sql</t>
  </si>
  <si>
    <t>20251003_05_CREATE OR REPLACE FUNCTION report_pood12_sub.sql</t>
  </si>
  <si>
    <t>20251003_06_drop function report_pood02; แก้วันที่ไปใช้ report_date.sql</t>
  </si>
  <si>
    <t>20251009_01_drop function report_pood01;.sql</t>
  </si>
  <si>
    <t>C:\Users\BasS\Desktop\ALL-Script\PatchControl\NPRU\20251009\</t>
  </si>
  <si>
    <t>C:\Users\BasS\Desktop\ALL-Script\PatchControl\PGVIM\20251009\</t>
  </si>
  <si>
    <t>C:\Users\BasS\Desktop\ALL-Script\PatchControl\ICCS\20251009\</t>
  </si>
  <si>
    <t>20251010_00 drop function report_pood12 ,13, 14, 15;.sql</t>
  </si>
  <si>
    <t>C:\Users\BasS\Desktop\ALL-Script\PatchControl\PGVIM\20251010\</t>
  </si>
  <si>
    <t>20251010_01_INSERT INTO su_program porp09.sql</t>
  </si>
  <si>
    <t>20251010_02_INSERT INTO su_program_label porp09.sql</t>
  </si>
  <si>
    <t>20251010_03_INSERT INTO su_profile_menu porp09.sql</t>
  </si>
  <si>
    <t>20251010_04_INSERT INTO su_report_label porp09.sql</t>
  </si>
  <si>
    <t>20251010_05_CREATE OR REPLACE FUNCTION erp porp09.sql</t>
  </si>
  <si>
    <t>20251010_06_UPDATE su_report_label porp01.sql</t>
  </si>
  <si>
    <t>20251014_01_insert_su_program_poqy01.sql</t>
  </si>
  <si>
    <t>C:\Users\BasS\Desktop\ALL-Script\PatchControl\PGVIM\20251014\</t>
  </si>
  <si>
    <t>20251014_02_su_profile_authorize_poqy01.sql</t>
  </si>
  <si>
    <t>20251014_03_su_menu_poqy01.sql</t>
  </si>
  <si>
    <t>20251014_04_su_profile_menu_poqy01.sql</t>
  </si>
  <si>
    <t>20251014_05_su_program_label_poqy01.sql</t>
  </si>
  <si>
    <t>20251014.zip</t>
  </si>
  <si>
    <t>.zip</t>
  </si>
  <si>
    <t>C:\Users\BasS\Desktop\ALL-Script\PatchControl\PGVIM\</t>
  </si>
  <si>
    <t>20251015_01_drop function report_pood12;.sql</t>
  </si>
  <si>
    <t>C:\Users\BasS\Desktop\ALL-Script\PatchControl\PGVIM\20251015\</t>
  </si>
  <si>
    <t>20251015_02_drop function report_pood13;.sql</t>
  </si>
  <si>
    <t>20251015_03_drpo function report_pood14;.sql</t>
  </si>
  <si>
    <t>20251015_04_drop function report_pood15;.sql</t>
  </si>
  <si>
    <t>20251015_05_drop function report_pood01;.sql</t>
  </si>
  <si>
    <t>20251015_06_drop function report_pood02;.sql</t>
  </si>
  <si>
    <t>20251015_07_po_get_fromat_approve_date.sql</t>
  </si>
  <si>
    <t>20251015_08_drop function report_pood03;.sql</t>
  </si>
  <si>
    <t>20251015_09_drop function report_pood04;.sql</t>
  </si>
  <si>
    <t>20251015_10_drop function report_pood05;.sql</t>
  </si>
  <si>
    <t>20251015_11_drop function report_pood06;.sql</t>
  </si>
  <si>
    <t>20251015_12_drop function report_pood07;.sql</t>
  </si>
  <si>
    <t>20251015_13_drop function report_pood08;.sql</t>
  </si>
  <si>
    <t>20251016_01_UPDATE_SuSystemConfigurationAll(shared).sql</t>
  </si>
  <si>
    <t>C:\Users\BasS\Desktop\ALL-Script\PatchControl\SKC\20251016\</t>
  </si>
  <si>
    <t>20251016_02_UPDATE_SuSystemConfigurationAll(shared)_Prod.sql</t>
  </si>
  <si>
    <t>20251016_01_drop function report_pood06;.sql</t>
  </si>
  <si>
    <t>C:\Users\BasS\Desktop\ALL-Script\PatchControl\PGVIM\20251016\</t>
  </si>
  <si>
    <t>20251016_02_drop function report_pood07;.sql</t>
  </si>
  <si>
    <t>20251016_03_drop function report_pood08;.sql</t>
  </si>
  <si>
    <t>20251016_04_drop function report_pood12;.sql</t>
  </si>
  <si>
    <t>20251016_05_drop function report_pood13;.sql</t>
  </si>
  <si>
    <t>20251016_06_drop function report_pood14;.sql</t>
  </si>
  <si>
    <t>20251016_07_drop function report_pood15;.sql</t>
  </si>
  <si>
    <t>20251017_01_drop function report_pood02;.sql</t>
  </si>
  <si>
    <t>C:\Users\BasS\Desktop\ALL-Script\PatchControl\PGVIM\20251017\</t>
  </si>
  <si>
    <t>20251017_02_INSERT INTO su_report_label.sql</t>
  </si>
  <si>
    <t>20251017_03_INSERT INTO db_list_value.sql</t>
  </si>
  <si>
    <t>20251017_04_UPDATE db_list_value.sql</t>
  </si>
  <si>
    <t>20251020_01_INSERT INTO su_menu_aprp07.sql</t>
  </si>
  <si>
    <t>C:\Users\BasS\Desktop\ALL-Script\PatchControl\PGVIM\20251020\</t>
  </si>
  <si>
    <t>20251020_02_su_profile_menu_aprp07.sql</t>
  </si>
  <si>
    <t>20251020_03_get full_name ap_member report_pood02.sql</t>
  </si>
  <si>
    <t>20251020_04_get full_name ap_member report_pood03.sql</t>
  </si>
  <si>
    <t>20251020_05_get full_name ap_member report_pood04.sql</t>
  </si>
  <si>
    <t>20251020_06_get full_name ap_member report_pood05.sql</t>
  </si>
  <si>
    <t>20251020_07_drop function report_pood09;--get full_n.sql</t>
  </si>
  <si>
    <t>20251020_08_drop function report_pood10;--get full_n.sql</t>
  </si>
  <si>
    <t>20251020_09_drop function report_pood16;--get full_n.sql</t>
  </si>
  <si>
    <t>20251020_10_drop function report_pood17;--get full_n.sql</t>
  </si>
  <si>
    <t>20251020_11_drop function report_pood18;--get full_n.sql</t>
  </si>
  <si>
    <t>20251020_12_drop function report_pood19;--get full_n.sql</t>
  </si>
  <si>
    <t>20251020_13_drop function report_pood21;--get full_n.sql</t>
  </si>
  <si>
    <t>20251020_01_PODT04_INSERT INTO su_program_label.sql</t>
  </si>
  <si>
    <t>C:\Users\BasS\Desktop\ALL-Script\PatchControl\NPRU\20251020\</t>
  </si>
  <si>
    <t>20251020_02_po_pr_master_ALTER TABLE erp.sql</t>
  </si>
  <si>
    <t>20251024_01_INSERT INTO su_report_label_POOD12.sql</t>
  </si>
  <si>
    <t>C:\Users\BasS\Desktop\ALL-Script\PatchControl\NPRU\20251024\</t>
  </si>
  <si>
    <t>20251024_02_drop function report_pood12;.sql</t>
  </si>
  <si>
    <t>20251024_01_edit_group_atv_drop function report_pood01;.sql</t>
  </si>
  <si>
    <t>C:\Users\BasS\Desktop\ALL-Script\PatchControl\PGVIM\20251024\</t>
  </si>
  <si>
    <t>20251024_02_edit_group_atv_drop function report_pood02;.sql</t>
  </si>
  <si>
    <t>20251024_03_edit_purpose_pood12-13-14-15.sql</t>
  </si>
  <si>
    <t>20251024_04_add_f2-3-4_drop function report_pood14;.sql</t>
  </si>
  <si>
    <t>20251024_05_edit_SPLIT_PART_committee_type_name_12-13-14-15-SUB.sql</t>
  </si>
  <si>
    <t>20251027_01_drop function report_pood01_sub_detail;.sql</t>
  </si>
  <si>
    <t>C:\Users\BasS\Desktop\ALL-Script\PatchControl\PGVIM\20251027\</t>
  </si>
  <si>
    <t>20251027_02_drop function report_pood02_sub_detail;.sql</t>
  </si>
  <si>
    <t>20251027_03_drop function report_pood01_sub;.sql</t>
  </si>
  <si>
    <t>20251027_04_drop function report_pood02_sub;.sql</t>
  </si>
  <si>
    <t>20251028_01_drop function report_pood14;.sql</t>
  </si>
  <si>
    <t>C:\Users\BasS\Desktop\ALL-Script\PatchControl\PGVIM\20251028\</t>
  </si>
  <si>
    <t>20251028_02_drop function report_pood02_sub_detail;.sql</t>
  </si>
  <si>
    <t>20251028_03_(Prod)drop function report_aprp07;.sql</t>
  </si>
  <si>
    <t>20251027_01_drop function report_pood13;.sql</t>
  </si>
  <si>
    <t>C:\Users\BasS\Desktop\ALL-Script\PatchControl\ICCS\20251027\</t>
  </si>
  <si>
    <t>20251027_02_drop function report_pood13_sub;.sql</t>
  </si>
  <si>
    <t>20251027_03_drop function report_pood12;.sql</t>
  </si>
  <si>
    <t>20251027_04_drop function report_pood12_sub;.sql</t>
  </si>
  <si>
    <t>20251028_01_เพิ่มแสดงรายละเอียด เหมือน PGVIM_drop function report_pood03;.sql</t>
  </si>
  <si>
    <t>C:\Users\BasS\Desktop\ALL-Script\PatchControl\NPRU\20251028\</t>
  </si>
  <si>
    <t>20251028_02_เพิ่มแสดงรายละเอียด เหมือน PGVIMdrop function report_pood04;.sql</t>
  </si>
  <si>
    <t>20251028_03_เพิ่มแสดงรายละเอียด เหมือน PGVIMdrop function report_pood05;.sql</t>
  </si>
  <si>
    <t>20251029_01_cancelflightandcancelhotel TA.sql</t>
  </si>
  <si>
    <t>C:\Users\BasS\Desktop\ALL-Script\PatchControl\burgundy-knex\20251029\</t>
  </si>
  <si>
    <t>20251029_01_drop function report_pood14;--PGVIM.sql</t>
  </si>
  <si>
    <t>C:\Users\BasS\Desktop\ALL-Script\PatchControl\PGVIM\20251029\</t>
  </si>
  <si>
    <t>20251029_02_Bug_limit1_drop function report_pood02;.sql</t>
  </si>
  <si>
    <t>20251031_01_(ALL_Project)drop function po_format_date_thai;.sql</t>
  </si>
  <si>
    <t>C:\Users\BasS\Desktop\ALL-Script\PatchControl\PGVIM\20251031\</t>
  </si>
  <si>
    <t>20251031_02_POOD10_drop function report_pood10;.sql</t>
  </si>
  <si>
    <t>20251031_03_su_report_label_POOD31.sql</t>
  </si>
  <si>
    <t>20251103_01_NewReport_drop function report_pood32;.sql</t>
  </si>
  <si>
    <t>C:\Users\BasS\Desktop\ALL-Script\PatchControl\ICCS\20251103\</t>
  </si>
  <si>
    <t>20251103_02_NewReport_drop function report_pood32;.sql</t>
  </si>
  <si>
    <t>20251103_03_INSERT INTO su_program_label.sql</t>
  </si>
  <si>
    <t>20251103_04_drop function report_pood31;.sql</t>
  </si>
  <si>
    <t>20251107_01_UPDATE_SuProgramDetLang_SKEXRP09.sql</t>
  </si>
  <si>
    <t>C:\Users\BasS\Desktop\ALL-Script\PatchControl\SKC\20251107\</t>
  </si>
  <si>
    <t>20251105_01_where_active_drop function report_porp06;.sql</t>
  </si>
  <si>
    <t>C:\Users\BasS\Desktop\ALL-Script\PatchControl\NPRU\20251106\</t>
  </si>
  <si>
    <t>20251111_01_drop function report_pood09;.sql</t>
  </si>
  <si>
    <t>C:\Users\BasS\Desktop\ALL-Script\PatchControl\PGVIM\20251111\</t>
  </si>
  <si>
    <t>20251111_01_PORT02_เพิ่มให้กรอก โดยมีอำนาจและหน้าที่.sql</t>
  </si>
  <si>
    <t>C:\Users\BasS\Desktop\ALL-Script\PatchControl\ICCS\20251111\</t>
  </si>
  <si>
    <t>20251111_02_เอกสารแต่งตั้งคณะกรรมการ ให้แสดงดังนี้ drop function report_pood32;.sql</t>
  </si>
  <si>
    <t>20251111_03_เอกสารแต่งตั้งคณะกรรมการ ให้แสดงดังนี้ drop function report_pood32_sub;.sql</t>
  </si>
  <si>
    <t>20251111_04_PODT14 เพิ่มแสดงข้อมูล จึงเรียนมาเพื่อโปรดพิจารณา_drop function report_pood31;.sql</t>
  </si>
  <si>
    <t>20251112_01_UPDATE su_report_label.sql</t>
  </si>
  <si>
    <t>C:\Users\BasS\Desktop\ALL-Script\PatchControl\PGVIM\20251112\</t>
  </si>
  <si>
    <t>20251112_01_ใบรับคืนหลักประกันทั้ง 3 ใบ แก้ Label_UPDATE su_report_label.sql</t>
  </si>
  <si>
    <t>C:\Users\BasS\Desktop\ALL-Script\PatchControl\ICCS\20251112\</t>
  </si>
  <si>
    <t>20251112_02_เอกสารประกาศผู้ชนะ_drop function report_pood30;.sql</t>
  </si>
  <si>
    <t>20251112_02_แสดง เลขที่เอกสารที่อ้างอิงมาตรวจรับ_INSERT INTO su_report_label.sql</t>
  </si>
  <si>
    <t>20251112_03_[PGVIM] แสดง เลขที่เอกสารที่อ้างอิงมาตรวจรับ POOD09.sql</t>
  </si>
  <si>
    <t>20251112_03_เปลี่ยน concept การอนุมัติ - Bass_drop function report_pood01;.sql</t>
  </si>
  <si>
    <t>20251112_04_เปลี่ยน concept การอนุมัติ - Bass_drop function get_report_po_approve;.sql</t>
  </si>
  <si>
    <t>20251112_05_เปลี่ยน concept การอนุมัติ - Bass_drop function report_pood02;.sql</t>
  </si>
  <si>
    <t>20251112_06_เปลี่ยน concept การอนุมัติ - Bass_drop function report_pood03;.sql</t>
  </si>
  <si>
    <t>20251112_07_เปลี่ยน concept การอนุมัติ - Bass_drop FUNCTION report_pood04;.sql</t>
  </si>
  <si>
    <t>20251112_08_เปลี่ยน concept การอนุมัติ - Bass_drop function report_pood05;.sql</t>
  </si>
  <si>
    <t>20251112_09_เปลี่ยน concept การอนุมัติ - Bass_drop function report_pood32;.sql</t>
  </si>
  <si>
    <t>20251112_10_เปลี่ยน concept การอนุมัติ - Bass_drop function get_report_po_approve_pood.sql</t>
  </si>
  <si>
    <t>20251112_11_เปลี่ยน concept การอนุมัติ - Bass_drop function report_pood31;.sql</t>
  </si>
  <si>
    <t>20251113_01_เอาหมู่บ้านออก_drop function po_get_full_address;.sql</t>
  </si>
  <si>
    <t>C:\Users\BasS\Desktop\ALL-Script\PatchControl\PGVIM\20251113\</t>
  </si>
  <si>
    <t>20251113_02_แก้ แสดงวันที่ใบPOรอบ2_drop function report_pood09;.sql</t>
  </si>
  <si>
    <t>20251113_01_CREATE report_income_expense.sql</t>
  </si>
  <si>
    <t>C:\Users\BasS\Desktop\ALL-Script\PatchControl\burgundy-std\20251113\</t>
  </si>
  <si>
    <t>20251113_02_drop function get_db_income_expense_grou.sql</t>
  </si>
  <si>
    <t>20251113_03_drop function get_expense_amount;.sql</t>
  </si>
  <si>
    <t>20251113_03_แก้ใบตรวจรับ_pood10_drop function report_pood10;.sql</t>
  </si>
  <si>
    <t>20251114_01_INSERT AS SELECT report_income_expense.sql</t>
  </si>
  <si>
    <t>C:\Users\BasS\Desktop\ALL-Script\PatchControl\burgundy-std\20251114\</t>
  </si>
  <si>
    <t>20251114_01_POQY01_UPDATE su_program_label.sql</t>
  </si>
  <si>
    <t>C:\Users\BasS\Desktop\ALL-Script\PatchControl\PGVIM\20251114\</t>
  </si>
  <si>
    <t>20251114_01_insert_su_program_poqy01.sql</t>
  </si>
  <si>
    <t>C:\Users\BasS\Desktop\ALL-Script\PatchControl\ICCS\20251114\</t>
  </si>
  <si>
    <t>20251114_02_su_profile_authorize_poqy01.sql</t>
  </si>
  <si>
    <t>20251114_03_su_menu_poqy01.sql</t>
  </si>
  <si>
    <t>20251114_04_su_profile_menu_poqy01.sql</t>
  </si>
  <si>
    <t>20251114_05_su_program_label_poqy01.sql</t>
  </si>
  <si>
    <t>20251114_06_drop function report_pood10;.sql</t>
  </si>
  <si>
    <t>20251113_04_drop function report_pood10;.sql</t>
  </si>
  <si>
    <t>20251117_01_drop function report_pood02_sub2;.sql</t>
  </si>
  <si>
    <t>C:\Users\BasS\Desktop\ALL-Script\PatchControl\PGVIM\20251117\</t>
  </si>
  <si>
    <t>20251117_02_INSERT INTO su_report_label.sql</t>
  </si>
  <si>
    <t>20251117_03_drop function report_pood02;.sql</t>
  </si>
  <si>
    <t>20251117_04_CREATE OR REPLACE FUNCTION erpPOOD03.sql</t>
  </si>
  <si>
    <t>20251117_04_drop function report_pood05;.sql</t>
  </si>
  <si>
    <t>20251117_05_CREATE OR REPLACE FUNCTION erpPOOD04.sql</t>
  </si>
  <si>
    <t>20251117_01_drop function report_pood33;.sql</t>
  </si>
  <si>
    <t>C:\Users\BasS\Desktop\ALL-Script\PatchControl\ICCS\20251117\</t>
  </si>
  <si>
    <t>20251118_01_drop function report_pood02_sub2;.sql</t>
  </si>
  <si>
    <t>C:\Users\BasS\Desktop\ALL-Script\PatchControl\PGVIM\20251118\</t>
  </si>
  <si>
    <t>20251118_02_drop function report_pood02_sub_detail;.sql</t>
  </si>
  <si>
    <t>20251118_01_PODT11 เพิ่มเอกสารใบเบิก_INSERT INTO su_program.sql</t>
  </si>
  <si>
    <t>C:\Users\BasS\Desktop\ALL-Script\PatchControl\ICCS\20251118\</t>
  </si>
  <si>
    <t>20251118_02_PORP10_INSERT INTO su_program.sql</t>
  </si>
  <si>
    <t>20251118_03_PORP10_drop function report_porp10;.sql</t>
  </si>
  <si>
    <t>20251119_01_แก้ รวมเป็นเงินทั้งสิ้น drop function report_pood02_sub_detail;.sql</t>
  </si>
  <si>
    <t>C:\Users\BasS\Desktop\ALL-Script\PatchControl\PGVIM\20251119\</t>
  </si>
  <si>
    <t>20251119_01_แก้จำนวนเงิน gs_aft_disc drop function report_pood02;.sql</t>
  </si>
  <si>
    <t>C:\Users\BasS\Desktop\ALL-Script\PatchControl\ICCS\20251119\</t>
  </si>
  <si>
    <t>20251119_02_INSERT INTO su_program porp09.sql</t>
  </si>
  <si>
    <t>20251119_03_INSERT INTO su_program_label porp09.sql</t>
  </si>
  <si>
    <t>20251119_04_INSERT INTO su_profile_menu porp09.sql</t>
  </si>
  <si>
    <t>20251119_05_INSERT INTO su_report_label porp09.sql</t>
  </si>
  <si>
    <t>20251119_06_CREATE OR REPLACE FUNCTION erp porp09.sql</t>
  </si>
  <si>
    <t>20251119_02_UPDATE su_report_label POOD03 04 05.sql</t>
  </si>
  <si>
    <t>20251119_03_drop function report_pood03;.sql</t>
  </si>
  <si>
    <t>20251119_04_drop FUNCTION report_pood04;.sql</t>
  </si>
  <si>
    <t>20251119_05_drop function report_pood05;.sql</t>
  </si>
  <si>
    <t>20251119_07_INSERT INTO su_menu_PORP10.sql</t>
  </si>
  <si>
    <t>20251119_08_su_profile_authorize_su_profile_menu_PORP10.sql</t>
  </si>
  <si>
    <t>20251119_09_drop function get_report_po_approve;.sql</t>
  </si>
  <si>
    <t>20251119_01_(ALL_Project)drop function po_format_date_thai;.sql</t>
  </si>
  <si>
    <t>C:\Users\BasS\Desktop\ALL-Script\PatchControl\NPRU\20251119\</t>
  </si>
  <si>
    <t>20251119_10_drop function report_pood34;.sql</t>
  </si>
  <si>
    <t>20251119_11_UPDATE db_list_value PODT08.sql</t>
  </si>
  <si>
    <t>20251120_01_drop function report_pood32;.sql</t>
  </si>
  <si>
    <t>C:\Users\BasS\Desktop\ALL-Script\PatchControl\ICCS\20251120\</t>
  </si>
  <si>
    <t>20251120_01_เพิ่มset_drop function report_pood03_sub_detail;.sql</t>
  </si>
  <si>
    <t>C:\Users\BasS\Desktop\ALL-Script\PatchControl\PGVIM\20251120\</t>
  </si>
  <si>
    <t>20251120_02_เพิ่มset_drop function report_pood04_sub_detail;.sql</t>
  </si>
  <si>
    <t>20251120_03_เพิ่ม set_drop function report_pood05_sub_detail;.sql</t>
  </si>
  <si>
    <t>20251120_04_su_report_label_Detail.set.sql</t>
  </si>
  <si>
    <t>20251120_02_drop function get_report_po_approve_pood.sql</t>
  </si>
  <si>
    <t>20251120_03_drop function report_pood32;.sql</t>
  </si>
  <si>
    <t>20251120_04_drop function report_pood33;.sql</t>
  </si>
  <si>
    <t>20251120_05_drop function report_pood34;.sql</t>
  </si>
  <si>
    <t>20251120_06_PermissionDashbordPO_INSERT INTO db_parameter.sql</t>
  </si>
  <si>
    <t>20251120_07_PORT12_INSERT INTO su_program_label.sql</t>
  </si>
  <si>
    <t>20251120_08_drop function report_pood30;.sql</t>
  </si>
  <si>
    <t>20251121_01_drop function report_pood03_sub_detail;.sql</t>
  </si>
  <si>
    <t>C:\Users\BasS\Desktop\ALL-Script\PatchControl\PGVIM\20251121\</t>
  </si>
  <si>
    <t>20251121_02_drop function report_pood04_sub_detail;.sql</t>
  </si>
  <si>
    <t>20251121_03_drop function report_pood05_sub_detail;.sql</t>
  </si>
  <si>
    <t>20251121_01_ALTER TABLE dbo.ta_document ADD work_performance.sql</t>
  </si>
  <si>
    <t>C:\Users\BasS\Desktop\ALL-Script\PatchControl\burgundy-knex\20251121\</t>
  </si>
  <si>
    <t>20251121_02_CREATE TABLE dbo work_flow_attachment_for_hr.sql</t>
  </si>
  <si>
    <t>20251124_01_INSERT INTO su_program_label.sql</t>
  </si>
  <si>
    <t>C:\Users\BasS\Desktop\ALL-Script\PatchControl\burgundy-knex\20251124\</t>
  </si>
  <si>
    <t>20251124_02_INSERT INTO data_table_configulation.sql</t>
  </si>
  <si>
    <t>20251124_03_INSERT INTO su_message.sql</t>
  </si>
  <si>
    <t>20251124_04_INSERT INTO db_list_group.sql</t>
  </si>
  <si>
    <t>20251121_01_drop FUNCTION report_pood10;.sql</t>
  </si>
  <si>
    <t>C:\Users\BasS\Desktop\ALL-Script\PatchControl\ICCS\20251121\</t>
  </si>
  <si>
    <t>20251124_01_drop function get_report_po_approve;.sql</t>
  </si>
  <si>
    <t>C:\Users\BasS\Desktop\ALL-Script\PatchControl\ICCS\20251124\</t>
  </si>
  <si>
    <t>20251124_02_drop function get_report_po_approve_pood.sql</t>
  </si>
  <si>
    <t>20251125_01_UPDATE su_report_label.sql</t>
  </si>
  <si>
    <t>C:\Users\BasS\Desktop\ALL-Script\PatchControl\ICCS\20251125\</t>
  </si>
  <si>
    <t>20251125_02_drop function report_pood33;.sql</t>
  </si>
  <si>
    <t>20251125_03_drop function report_pood33;.sql</t>
  </si>
  <si>
    <t>20251125_04_drop function report_pood30;.sql</t>
  </si>
  <si>
    <t>20251125_05_POOD33_INSERT INTO su_report_label.sql</t>
  </si>
  <si>
    <t>20251126_01_INSERT INTO su_program_label_ConfirmSaveAndSendEmail.sql</t>
  </si>
  <si>
    <t>C:\Users\BasS\Desktop\ALL-Script\PatchControl\burgundy-knex\20251126\</t>
  </si>
  <si>
    <t>C:\Users\BasS\Desktop\ALL-Script\PatchControl\SKC\20251127\</t>
  </si>
  <si>
    <t>20251128_01_เพิ่มสิทธิการใช้งาน_กำหนดข้อมูลธนาคาร และสาขา_INSERT INTO su_profile_menu.sql</t>
  </si>
  <si>
    <t>C:\Users\BasS\Desktop\ALL-Script\PatchControl\burgundy-knex\20251128\</t>
  </si>
  <si>
    <t>20251128_02_เพิ่มสิทธิการใช้งาน กำหนดข้อมูลธนาคาร และสาขา_INSERT INTO su_system_configuration.sql</t>
  </si>
  <si>
    <t>20251127_01_ALTER TABLE SrcDocumentParticipants.sql</t>
  </si>
  <si>
    <t>20251128_01_แก้ใบ PQ และ PR ให้แสดงกิจกรรมทั้งหมด drop function report_pood01;.sql</t>
  </si>
  <si>
    <t>C:\Users\BasS\Desktop\ALL-Script\PatchControl\ICCS\20251128\</t>
  </si>
  <si>
    <t>20251128_02_แก้ใบ PQ และ PR ให้แสดงกิจกรรมทั้งหมด drop function report_pood01_sub_detail;.sql</t>
  </si>
  <si>
    <t>20251128_03_แก้ใบ PQ และ PR ให้แสดงกิจกรรมทั้งหมด drop function report_pood01_sub;.sql</t>
  </si>
  <si>
    <t>20251128_04_แก้ใบ PQ และ PR ให้แสดงกิจกรรมทั้งหมด drop function report_pood02;.sql</t>
  </si>
  <si>
    <t>20251128_05_แก้ใบ PQ และ PR ให้แสดงกิจกรรมทั้งหมด drop function report_pood02_sub;.sql</t>
  </si>
  <si>
    <t>20251128_06_แก้ใบ PQ และ PR ให้แสดงกิจกรรมทั้งหมด drop function report_pood02_sub_detail;.sql</t>
  </si>
  <si>
    <t>20251201_01_POOD02_INSERT INTO su_report_label.sql</t>
  </si>
  <si>
    <t>C:\Users\BasS\Desktop\ALL-Script\PatchControl\ICCS\20251201\</t>
  </si>
  <si>
    <t>20251201_02_แก้ไขแบบฟอร์มใบตรวจรับพัสด เพิ่มแสดง_drop function report_pood10;.sql</t>
  </si>
  <si>
    <t>20251201_03_6.ใบตรวจรับการจัดซื้อจัดจ้าง_pood09;.sql</t>
  </si>
  <si>
    <t>20251201_04_POOD09_detail1_PO_CO_INSERT INTO su_report_label.sql</t>
  </si>
  <si>
    <t>20251201_05_7.ใบสั่ั่งซื้อสั่งจ้าง ที่อยู่ผู้ขาย ลบคำว่าหมู่บ้านออก_drop function po_get_full_address;.sql</t>
  </si>
  <si>
    <t>20251201_06_ราคาไม่รวมภาษีมูลค่าเพิ่ม_UPDATE su_report_label.sql</t>
  </si>
  <si>
    <t>20251201_07_POOD03_CREATE OR REPLACE FUNCTION erp.sql</t>
  </si>
  <si>
    <t>20251201_08_POOD04_CREATE OR REPLACE FUNCTION erp.sql</t>
  </si>
  <si>
    <t>20251201_09_POOD05_CREATE OR REPLACE FUNCTION erp.sql</t>
  </si>
  <si>
    <t>20251201_10_PoWorkFlowOnReport_INSERT INTO su_program_label.sql</t>
  </si>
  <si>
    <t>20251201_11_drop function get_report_po_approve;.sql</t>
  </si>
  <si>
    <t>20251202_01_drop function report_pood12;.sql</t>
  </si>
  <si>
    <t>C:\Users\BasS\Desktop\ALL-Script\PatchControl\PGVIM\20251202\</t>
  </si>
  <si>
    <t>20251202_02_drop function report_pood13;.sql</t>
  </si>
  <si>
    <t>20251202_03_drop function report_pood14;.sql</t>
  </si>
  <si>
    <t>20251202_04_drop function report_pood15;.sql</t>
  </si>
  <si>
    <t>20251204_01_drop function report_pood09;.sql</t>
  </si>
  <si>
    <t>C:\Users\BasS\Desktop\ALL-Script\PatchControl\PGVIM\20251204\</t>
  </si>
  <si>
    <t>20251204_01_TA_INSERT INTO data_table_configulation.sql</t>
  </si>
  <si>
    <t>C:\Users\BasS\Desktop\ALL-Script\PatchControl\burgundy-knex\20251204\</t>
  </si>
  <si>
    <t>20251205_05_คณะกรรมการพิจารณาผลการประกวดราคาอิเล็กทรอนิกส์_drop function report_pood15;.sql</t>
  </si>
  <si>
    <t>C:\Users\BasS\Desktop\ALL-Script\PatchControl\PGVIM\20251208\</t>
  </si>
  <si>
    <t>20251208_01_PrintReportCommittee_su_program_label.sql</t>
  </si>
  <si>
    <t>20251208_02_แต่งตั้งคณะกรรมการตรวจรับพัสดุ_drop function report_pood12;.sql</t>
  </si>
  <si>
    <t>20251208_03_แต่งตั้งคณะกรรมการการจัดทำร่างขอบเขตงาน_drop function report_pood13;.sql</t>
  </si>
  <si>
    <t>20251208_04_คณะกรรมการ การจัดซื้อจัดจ้าง_drop function report_pood14;.sql</t>
  </si>
  <si>
    <t>20251208_05_drop function report_pood01;.sql</t>
  </si>
  <si>
    <t>20251208_06_drop function report_pood02;.sql</t>
  </si>
  <si>
    <t>20251209_01_POOD09_DROP FUNCTION erp.sql</t>
  </si>
  <si>
    <t>C:\Users\BasS\Desktop\ALL-Script\PatchControl\PGVIM\20251209\</t>
  </si>
  <si>
    <t>20251211_01_แต่งตั้งคณะกรรมการการจัดทำร่างขอบเขตงาน_drop function report_pood13;.sql</t>
  </si>
  <si>
    <t>C:\Users\BasS\Desktop\ALL-Script\PatchControl\PGVIM\20251211\</t>
  </si>
  <si>
    <t>20251211_02_คณะกรรมการพิจารณาผลการประกวดราคาอิเล็กทรอนิกส์_drop function report_pood15;.sql</t>
  </si>
  <si>
    <t>20251211_03_แต่งตั้งคณะกรรมการตรวจรับพัสดุ_drop function report_pood12;.sql</t>
  </si>
  <si>
    <t>20251211_04_คณะกรรมการ การจัดซื้อจัดจ้าง_drop function report_pood14;.sql</t>
  </si>
  <si>
    <t>20251212_01_-- drop function report_porp11_sub;.sql</t>
  </si>
  <si>
    <t>C:\Users\BasS\Desktop\ALL-Script\PatchControl\ICCS\20251212\</t>
  </si>
  <si>
    <t>20251212_02_-- DROP FUNCTION erp.sql</t>
  </si>
  <si>
    <t>20251212_03_INSERT INTO su_program.sql</t>
  </si>
  <si>
    <t>20251216_01_POOD10_INSERT INTO su_report_label.sql</t>
  </si>
  <si>
    <t>C:\Users\BasS\Desktop\ALL-Script\PatchControl\PGVIM\20251216\</t>
  </si>
  <si>
    <t>20251216_02_report_pood10_DROP FUNCTION erp.sql</t>
  </si>
  <si>
    <t>20251222_01_DROP FUNCTION erp_report_pood10.sql</t>
  </si>
  <si>
    <t>C:\Users\BasS\Desktop\ALL-Script\PatchControl\PGVIM\20251222\</t>
  </si>
  <si>
    <t>20251222_02_report_pood02_sub_detail.sql</t>
  </si>
  <si>
    <t>20251222_01_Add_remark_INSERT INTO su_report_label.sql</t>
  </si>
  <si>
    <t>C:\Users\BasS\Desktop\ALL-Script\PatchControl\ICCS\20251222\</t>
  </si>
  <si>
    <t>20251222_02_Add_remark_pood03.sql</t>
  </si>
  <si>
    <t>20251222_03_Add_remark_pood04.sql</t>
  </si>
  <si>
    <t>20251222_04_Add_remark_pood05.sql</t>
  </si>
  <si>
    <t>20251223_01_SuSystemConfigurationAll(shared).sql</t>
  </si>
  <si>
    <t>C:\Users\BasS\Desktop\ALL-Script\PatchControl\SKC\20251223\</t>
  </si>
  <si>
    <t>20251223_02_ALTER_TABLE_SrcDocumentParticipants.sql</t>
  </si>
  <si>
    <t>20251223.zip</t>
  </si>
  <si>
    <t>20260106_01_INSERT INTO su_profile_menu.sql</t>
  </si>
  <si>
    <t>C:\Users\BasS\Desktop\ALL-Script\PatchControl\ICCS\20260106\</t>
  </si>
  <si>
    <t>20260107_01_report_pood09_add is_compliant.sql</t>
  </si>
  <si>
    <t>C:\Users\BasS\Desktop\ALL-Script\PatchControl\PGVIM\20260107\</t>
  </si>
  <si>
    <t>DEMO</t>
  </si>
  <si>
    <t>20260119_01_DROP FUNCTION report_pood09.sql</t>
  </si>
  <si>
    <t>C:\Users\BasS\Desktop\ALL-Script\PatchControl\ECT\20260119\</t>
  </si>
  <si>
    <t>20260119_02_DROP FUNCTION report_pood09_sub.sql</t>
  </si>
  <si>
    <t>20260119_03_INSERT INTO su_program_label_podt09.sql</t>
  </si>
  <si>
    <t>20260123_01_report_pood03_sub_detail.sql</t>
  </si>
  <si>
    <t>C:\Users\BasS\Desktop\ALL-Script\PatchControl\PGVIM\20260123\</t>
  </si>
  <si>
    <t>20260123_02_report_pood04_sub_detail.sql</t>
  </si>
  <si>
    <t>20260123_03_report_pood05_sub_detail.sql</t>
  </si>
  <si>
    <t>20260129_01_INSERT INTO SuSystemConfigurationAll(shared).sql</t>
  </si>
  <si>
    <t>C:\Users\BasS\Desktop\ALL-Script\PatchControl\SKC\20260129\</t>
  </si>
  <si>
    <t>20260129_01_INSERT INTO SuSystemConfigurationAll(shared).zip</t>
  </si>
  <si>
    <t>20260204_01_drop function report_porp07;.sql</t>
  </si>
  <si>
    <t>C:\Users\BasS\Desktop\ALL-Script\PatchControl\PGVIM\20260204\</t>
  </si>
  <si>
    <t>20260204_01_report_pood32_แสดงที่.ini</t>
  </si>
  <si>
    <t>.ini</t>
  </si>
  <si>
    <t>C:\Users\BasS\Desktop\ALL-Script\PatchControl\ICCS\20260204\</t>
  </si>
  <si>
    <t>20260205_01_PORP07_add_status_DROP FUNCTION erp.sql</t>
  </si>
  <si>
    <t>C:\Users\BasS\Desktop\ALL-Script\PatchControl\PGVIM\20260205\</t>
  </si>
  <si>
    <t>20260205_02_add_status_INSERT INTO su_report_label.sql</t>
  </si>
  <si>
    <t>20260206_01_report_pood31.sql</t>
  </si>
  <si>
    <t>C:\Users\BasS\Desktop\ALL-Script\PatchControl\ICCS\20260206\</t>
  </si>
  <si>
    <t>20260206_02_report_pood31_sub.sql</t>
  </si>
  <si>
    <t>20260213_01_INSERT INTO su_report_label.sql</t>
  </si>
  <si>
    <t>C:\Users\BasS\Desktop\ALL-Script\PatchControl\ECT\20260213\</t>
  </si>
  <si>
    <t>20260213_02_INSERT INTO db_parameter.sql</t>
  </si>
  <si>
    <t>20260213_03_INSERT INTO su_program_label.sql</t>
  </si>
  <si>
    <t>20260213_04_INSERT INTO su_program.sql</t>
  </si>
  <si>
    <t>20260213_05_INSERT INTO su_report_label POOD15.sql</t>
  </si>
  <si>
    <t>20260213_01_INSERT INTO data_table_configulation.sql</t>
  </si>
  <si>
    <t>C:\Users\BasS\Desktop\ALL-Script\PatchControl\burgundy-knex\20260213\</t>
  </si>
  <si>
    <t>20260213_02_INSERT INTO su_program_label.sql</t>
  </si>
  <si>
    <t>20260213_03_INSERT INTO db_list_group.sql</t>
  </si>
  <si>
    <t>20260213_04_INSERT INTO db_list_value.sql</t>
  </si>
  <si>
    <t>20260213_05_INSERT INTO db_list_value_lang.sql</t>
  </si>
  <si>
    <t>C:\Users\BasS\Desktop\ALL-Script\PatchControl\ECT\20260216\</t>
  </si>
  <si>
    <t>20260216_01_INSERT INTO su_program_label.sql</t>
  </si>
  <si>
    <t>20260216_02_UPDATE su_program_label.sql</t>
  </si>
  <si>
    <t>20260216_03_UPDATE su_menu_label.sql</t>
  </si>
  <si>
    <t>20260216_04_UPDATE su_program_label.sql</t>
  </si>
  <si>
    <t>20260216_05_UPDATE su_report_label.sql</t>
  </si>
  <si>
    <t>20260216_06_DROP FUNCTION erp.sql</t>
  </si>
  <si>
    <t>20260216_07_DROP FUNCTION erp.sql</t>
  </si>
  <si>
    <t>20260216_08_DROP FUNCTION erp.sql</t>
  </si>
  <si>
    <t>20260216_10_DROP FUNCTION erp.sql</t>
  </si>
  <si>
    <t>20260216_11_DROP FUNCTION erp.sql</t>
  </si>
  <si>
    <t>20260216_12_DROP FUNCTION erp.sql</t>
  </si>
  <si>
    <t>20260216_13_DROP FUNCTION erp.sql</t>
  </si>
  <si>
    <t>20260216_14_DROP FUNCTION erp.sql</t>
  </si>
  <si>
    <t>20260216_15_ALTER TABLE erp.sql</t>
  </si>
  <si>
    <t>20260216_09_DROP FUNCTION erp.sql</t>
  </si>
  <si>
    <t>20260218_01_report_pood01.sql</t>
  </si>
  <si>
    <t>C:\Users\BasS\Desktop\ALL-Script\PatchControl\ECT\20260218\</t>
  </si>
  <si>
    <t>20260218_02_report_pood02.sql</t>
  </si>
  <si>
    <t>20260218_03_report_pood03.sql</t>
  </si>
  <si>
    <t>20260218_04_report_pood05.sql</t>
  </si>
  <si>
    <t>20260218_05_report_pood06.sql</t>
  </si>
  <si>
    <t>20260218_06_report_pood07.sql</t>
  </si>
  <si>
    <t>20260218_07_report_pood08.sql</t>
  </si>
  <si>
    <t>20260218_08_report_pood09.sql</t>
  </si>
  <si>
    <t>20260218_09_report_pood10.sql</t>
  </si>
  <si>
    <t>20260218_10_report_pood13.sql</t>
  </si>
  <si>
    <t>20260218_11_report_pood14.sql</t>
  </si>
  <si>
    <t>20260218_12_report_pood16.sql</t>
  </si>
  <si>
    <t>20260218_13_report_porp07.sql</t>
  </si>
  <si>
    <t>20260219_01_report_pood02_sub.sql</t>
  </si>
  <si>
    <t>C:\Users\BasS\Desktop\ALL-Script\PatchControl\ECT\20260219\</t>
  </si>
  <si>
    <t>20260219_02_su_program_label_PODT07.sql</t>
  </si>
  <si>
    <t>20260219_03_report_pood05.sql</t>
  </si>
  <si>
    <t>20260219_04_report_pood05.sql</t>
  </si>
  <si>
    <t>20260219_05_report_pood07.sql</t>
  </si>
  <si>
    <t>20260219_06_report_pood11_sub_sign.sql</t>
  </si>
  <si>
    <t>20260219_07_report_pood11.sql</t>
  </si>
  <si>
    <t>20260219_08_report_pood12.sql</t>
  </si>
  <si>
    <t>20260219_09_report_pood12_sub_sign.sql</t>
  </si>
  <si>
    <t>20260219_10_report_pood12_sub_sign.sql</t>
  </si>
  <si>
    <t>20260219_11_report_pood13_sub_sign.sql</t>
  </si>
  <si>
    <t>20260219_12_report_pood09.sql</t>
  </si>
  <si>
    <t>20260302_01_report_po_guaranty_detail.sql</t>
  </si>
  <si>
    <t>C:\Users\BasS\Desktop\ALL-Script\PatchControl\ECT\20260302\</t>
  </si>
  <si>
    <t>20260302_02_report_pood01.sql</t>
  </si>
  <si>
    <t>20260302_03_report_pood02.sql</t>
  </si>
  <si>
    <t>20260302_04_report_pood03.sql</t>
  </si>
  <si>
    <t>20260302_05_report_pood14.sql</t>
  </si>
  <si>
    <t>20260302_06_db_parameter_porp09.sql</t>
  </si>
  <si>
    <t>20260302_07_su_report_label_OD.sql</t>
  </si>
  <si>
    <t>20260302_08_report_porp09.sql</t>
  </si>
  <si>
    <t>20260302_09_report_porp10.sql</t>
  </si>
  <si>
    <t>20260302_10_report_porp12.sql</t>
  </si>
  <si>
    <t>20260302_11_po_format_month_date_thai.sql</t>
  </si>
  <si>
    <t>20260302_12_po_format_date_for_report.sql</t>
  </si>
  <si>
    <t>20260302_13_su_program_rp12-13-14.sql</t>
  </si>
  <si>
    <t>20260302_14_su_program_label_RP12.sql</t>
  </si>
  <si>
    <t>20260302_15_su_report_label_PR12.sql</t>
  </si>
  <si>
    <t>20260302_16_report_porp13.sql</t>
  </si>
  <si>
    <t>20260302_17_su_report_label_RP13.sql</t>
  </si>
  <si>
    <t>20260302_18_su_program_label_RP13.sql</t>
  </si>
  <si>
    <t>20260302_19_report_porp14.sql</t>
  </si>
  <si>
    <t>20260302_20_su_program_label_RP14.sql</t>
  </si>
  <si>
    <t>20260302_21_su_report_label_RP14.sql</t>
  </si>
  <si>
    <t>20260302_22_su_menu.sql</t>
  </si>
  <si>
    <t>20260302_23_su_profile_authorize.sql</t>
  </si>
  <si>
    <t>20260302_24_su_profile_authorize.sql</t>
  </si>
  <si>
    <t>20260302_25_su_profile_authorize.sql</t>
  </si>
  <si>
    <t>20260316_01_report_smexallrp.sql</t>
  </si>
  <si>
    <t>C:\Users\BasS\Desktop\ALL-Script\PatchControl\burgundy-std\20260316\</t>
  </si>
  <si>
    <t>C:\Users\BasS\Desktop\ALL-Script\PatchControl\burgundy-knex\20260316\</t>
  </si>
  <si>
    <t>20260316_02_report_smexod02_sub.sql</t>
  </si>
  <si>
    <t>20260316_03_report_smexod03_sub1.sql</t>
  </si>
  <si>
    <t>20260316_04_report_smexod03_sub2.sql</t>
  </si>
  <si>
    <t>20260316_05_report_smexod03_sub3.sql</t>
  </si>
  <si>
    <t>20260316_06_report_smpcod04_sub1.sql</t>
  </si>
  <si>
    <t>20260316_07_report_smpcod04_sub2.sql</t>
  </si>
  <si>
    <t>20260316_08_report_smprqod02.sql</t>
  </si>
  <si>
    <t>20260305_01_su_program_label.sql</t>
  </si>
  <si>
    <t>C:\Users\BasS\Desktop\ALL-Script\PatchControl\ECT\20260305\</t>
  </si>
  <si>
    <t>20260305_02_report_pood16_sub.sql</t>
  </si>
  <si>
    <t>20260305_03_UPDATE su_report_label.sql</t>
  </si>
  <si>
    <t>STD</t>
  </si>
  <si>
    <t>20260316_02_report_smprqod02.sql</t>
  </si>
  <si>
    <t>20260316_03_report_smexod02_sub.sql</t>
  </si>
  <si>
    <t>20260316_04_report_smexod03_sub1.sql</t>
  </si>
  <si>
    <t>20260316_05_report_smexod03_sub2.sql</t>
  </si>
  <si>
    <t>20260316_06_report_smexod03_sub3.sql</t>
  </si>
  <si>
    <t>20260316_07_report_smpcod04_sub1.sql</t>
  </si>
  <si>
    <t>20260316_08_report_smpcod04_sub2.sql</t>
  </si>
  <si>
    <t>20260317_01_report_smprqrp01.sql</t>
  </si>
  <si>
    <t>C:\Users\BasS\Desktop\ALL-Script\PatchControl\burgundy-knex\20260317\</t>
  </si>
  <si>
    <t>20260317_02_report_smprqrp02.sql</t>
  </si>
  <si>
    <t>20260317_01_report_porp09.sql</t>
  </si>
  <si>
    <t>C:\Users\BasS\Desktop\ALL-Script\PatchControl\ECT\20260317\</t>
  </si>
  <si>
    <t>20260318_01_su_report_label.sql</t>
  </si>
  <si>
    <t>C:\Users\BasS\Desktop\ALL-Script\PatchControl\PGVIM\20260318\</t>
  </si>
  <si>
    <t>20260318_02_report_pood10.sql</t>
  </si>
  <si>
    <t>20260318_03_report_pood09.sql</t>
  </si>
  <si>
    <t>20260323_01_db_list_group.sql</t>
  </si>
  <si>
    <t>C:\Users\BasS\Desktop\ALL-Script\PatchControl\PGVIM\20260323\</t>
  </si>
  <si>
    <t>20260323_02_report_porp07.sql</t>
  </si>
  <si>
    <t>20260323_01_report_pood01.sql</t>
  </si>
  <si>
    <t>C:\Users\BasS\Desktop\ALL-Script\PatchControl\ECT\20260323\</t>
  </si>
  <si>
    <t>20260323_02_report_pood02.sql</t>
  </si>
  <si>
    <t>20260323_03_report_pood03.sql</t>
  </si>
  <si>
    <t>20260324_01_report_pood09.sql</t>
  </si>
  <si>
    <t>C:\Users\BasS\Desktop\ALL-Script\PatchControl\NPRU\20260324\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</si>
</sst>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u/>
      <sz val="11"/>
      <color theme="10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1"/>
    <xf numFmtId="0" fontId="0" fillId="0" borderId="0" xfId="0" applyAlignment="1">
      <alignment horizontal="center"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1" applyFill="1"/>
    <xf numFmtId="0" fontId="2" fillId="3" borderId="0" xfId="2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Alignment="1">
      <alignment horizontal="center" vertical="center"/>
    </xf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/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22" fontId="0" fillId="2" borderId="0" xfId="0" applyNumberFormat="1" applyFill="1"/>
  </cellXfs>
  <cellStyles count="3">
    <cellStyle name="Hyperlink" xfId="1" builtinId="8"/>
    <cellStyle name="Neutral" xfId="2" builtinId="28"/>
    <cellStyle name="Normal" xfId="0" builtinId="0"/>
  </cellStyles>
  <dxfs count="48"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85C980C-CE51-4A20-A33B-67F14674FD04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E30C90A-1E73-410C-B552-7CA803ACA6B1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7221352-2A08-4224-B089-9E90F0CA48D4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37C228-DF3C-45DA-B767-AF34E05059A8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86E4978-58A3-444A-9392-02E9A064C6FF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67618AB-2B05-45B9-94CE-B89831EB6AE8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7BAB239-EBE7-4549-8151-E4BA98B62764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DB30024-FE3D-42BA-8516-3CD943814229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C5BE51-ED89-4F32-9795-D806EAC19947}" name="ERP" displayName="ERP" ref="E1:J2" tableType="queryTable" totalsRowShown="0">
  <autoFilter ref="E1:J2" xr:uid="{99C5BE51-ED89-4F32-9795-D806EAC19947}"/>
  <tableColumns count="6">
    <tableColumn id="1" xr3:uid="{CE868FB2-AB2D-41E1-A046-107937B062CB}" uniqueName="1" name="Name" queryTableFieldId="1" dataDxfId="44"/>
    <tableColumn id="2" xr3:uid="{A5F873B5-C499-4EC8-A1B0-6A5BDEE07598}" uniqueName="2" name="Extension" queryTableFieldId="2" dataDxfId="43"/>
    <tableColumn id="3" xr3:uid="{A7DC96E0-962C-4D61-8C62-F8909C734676}" uniqueName="3" name="Date accessed" queryTableFieldId="3" dataDxfId="23"/>
    <tableColumn id="4" xr3:uid="{346DC736-4E58-42DB-8561-D17B3D14AEBF}" uniqueName="4" name="Date modified" queryTableFieldId="4" dataDxfId="22"/>
    <tableColumn id="5" xr3:uid="{9850BC60-0915-4389-85C2-D2F800D5714E}" uniqueName="5" name="Date created" queryTableFieldId="5" dataDxfId="21"/>
    <tableColumn id="6" xr3:uid="{D8D83524-D2C7-48FA-BC94-F79886B8E5ED}" uniqueName="6" name="Folder Path" queryTableFieldId="6" dataDxf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D09B28-93BB-4097-A4B7-6E0A64930487}" name="SKC" displayName="SKC" ref="E1:J15" tableType="queryTable" totalsRowShown="0">
  <autoFilter ref="E1:J15" xr:uid="{AAD09B28-93BB-4097-A4B7-6E0A64930487}"/>
  <tableColumns count="6">
    <tableColumn id="1" xr3:uid="{F6CA3E71-AF4C-43F1-82CB-427DBA8B08A4}" uniqueName="1" name="Name" queryTableFieldId="1" dataDxfId="41"/>
    <tableColumn id="2" xr3:uid="{169912F3-C150-4A0E-A75E-27DD8CBB0FCF}" uniqueName="2" name="Extension" queryTableFieldId="2" dataDxfId="40"/>
    <tableColumn id="3" xr3:uid="{B271ADDA-598C-4E0B-973C-04D9506810D5}" uniqueName="3" name="Date accessed" queryTableFieldId="3" dataDxfId="20"/>
    <tableColumn id="4" xr3:uid="{41787BBA-2375-4F66-ABB3-2C0006F6765F}" uniqueName="4" name="Date modified" queryTableFieldId="4" dataDxfId="19"/>
    <tableColumn id="5" xr3:uid="{68CAE552-002F-4E50-BD87-B50CD7A9AD40}" uniqueName="5" name="Date created" queryTableFieldId="5" dataDxfId="18"/>
    <tableColumn id="6" xr3:uid="{E58773F9-D6DD-49AD-92BF-996C4D8A7026}" uniqueName="6" name="Folder Path" queryTableFieldId="6" dataDxfId="3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3B1902-EDAF-478B-A60D-5A659AB65D65}" name="burgundy_std" displayName="burgundy_std" ref="F1:K13" tableType="queryTable" totalsRowShown="0">
  <autoFilter ref="F1:K13" xr:uid="{583B1902-EDAF-478B-A60D-5A659AB65D65}"/>
  <tableColumns count="6">
    <tableColumn id="1" xr3:uid="{BA594923-4291-4CF7-9699-E835C2B40A1F}" uniqueName="1" name="Name" queryTableFieldId="1" dataDxfId="38"/>
    <tableColumn id="2" xr3:uid="{B7202CE9-24A1-48DB-BB06-67CE652714C3}" uniqueName="2" name="Extension" queryTableFieldId="2" dataDxfId="37"/>
    <tableColumn id="3" xr3:uid="{899F3A01-5E53-4277-9966-CDAF9636C4E0}" uniqueName="3" name="Date accessed" queryTableFieldId="3" dataDxfId="17"/>
    <tableColumn id="4" xr3:uid="{E57466F1-C17D-4A9B-AFF5-4156F3BAB677}" uniqueName="4" name="Date modified" queryTableFieldId="4" dataDxfId="16"/>
    <tableColumn id="5" xr3:uid="{3367041C-EF72-4265-9CB8-F9D90A3BA057}" uniqueName="5" name="Date created" queryTableFieldId="5" dataDxfId="15"/>
    <tableColumn id="6" xr3:uid="{4ADFDE98-D9D6-4581-9A7E-5D70CA912611}" uniqueName="6" name="Folder Path" queryTableFieldId="6" dataDxfId="3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F4F320-4450-44A6-8E48-D5FBEC210B8B}" name="burgundy_knex__2" displayName="burgundy_knex__2" ref="E1:J73" tableType="queryTable" totalsRowShown="0">
  <autoFilter ref="E1:J73" xr:uid="{F6F4F320-4450-44A6-8E48-D5FBEC210B8B}"/>
  <tableColumns count="6">
    <tableColumn id="1" xr3:uid="{8C66B903-9A3F-4EA1-A639-C1568E73FF9C}" uniqueName="1" name="Name" queryTableFieldId="1" dataDxfId="35"/>
    <tableColumn id="2" xr3:uid="{8D0FC0DF-9AE9-4A7F-8BD0-03C95FC38FAA}" uniqueName="2" name="Extension" queryTableFieldId="2" dataDxfId="34"/>
    <tableColumn id="3" xr3:uid="{4F1BFA03-D160-4D86-A533-F8F0A2E8166C}" uniqueName="3" name="Date accessed" queryTableFieldId="3" dataDxfId="14"/>
    <tableColumn id="4" xr3:uid="{BCD72459-5B3F-49C6-985C-AE67C95088BE}" uniqueName="4" name="Date modified" queryTableFieldId="4" dataDxfId="13"/>
    <tableColumn id="5" xr3:uid="{5081CFBD-5C78-4E85-968E-9C8E309BD6A4}" uniqueName="5" name="Date created" queryTableFieldId="5" dataDxfId="12"/>
    <tableColumn id="6" xr3:uid="{CD990E92-3A4F-4B1C-B915-ABD0C97CDECE}" uniqueName="6" name="Folder Path" queryTableFieldId="6" dataDxfId="3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0FA8CE-158E-4E16-ABE2-B5EEB7CBBE52}" name="NPRU" displayName="NPRU" ref="E1:J29" tableType="queryTable" totalsRowShown="0">
  <autoFilter ref="E1:J29" xr:uid="{810FA8CE-158E-4E16-ABE2-B5EEB7CBBE52}"/>
  <tableColumns count="6">
    <tableColumn id="1" xr3:uid="{ECEEB4B9-CE61-4F30-A5A2-DBB0705B58EA}" uniqueName="1" name="Name" queryTableFieldId="1" dataDxfId="32"/>
    <tableColumn id="2" xr3:uid="{253E3C1C-F559-4009-AE44-735B6A43BB2E}" uniqueName="2" name="Extension" queryTableFieldId="2" dataDxfId="31"/>
    <tableColumn id="3" xr3:uid="{E5189B65-41C1-4165-88A5-BA9E2F806CA3}" uniqueName="3" name="Date accessed" queryTableFieldId="3" dataDxfId="11"/>
    <tableColumn id="4" xr3:uid="{AE281E15-4C17-4CF0-BC89-F48EFC142CC3}" uniqueName="4" name="Date modified" queryTableFieldId="4" dataDxfId="10"/>
    <tableColumn id="5" xr3:uid="{1F0AE728-006F-4C10-BE5B-E05EC6C82E0F}" uniqueName="5" name="Date created" queryTableFieldId="5" dataDxfId="9"/>
    <tableColumn id="6" xr3:uid="{2FC84389-2A51-4566-A8FD-D46A5C24C4E6}" uniqueName="6" name="Folder Path" queryTableFieldId="6" dataDxfId="3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679354-C0AE-48D9-AB92-FD88E5E4F25F}" name="PGVIM" displayName="PGVIM" ref="E1:J140" tableType="queryTable" totalsRowShown="0">
  <autoFilter ref="E1:J140" xr:uid="{38679354-C0AE-48D9-AB92-FD88E5E4F25F}"/>
  <tableColumns count="6">
    <tableColumn id="1" xr3:uid="{FA5592E2-26B0-4083-821A-4875FD3B0415}" uniqueName="1" name="Name" queryTableFieldId="1" dataDxfId="29"/>
    <tableColumn id="2" xr3:uid="{24BAC40D-FF3C-428F-A9D5-5DBC4B8690E7}" uniqueName="2" name="Extension" queryTableFieldId="2" dataDxfId="28"/>
    <tableColumn id="3" xr3:uid="{BD46AC8C-0EE6-43CB-B936-C92902C816F2}" uniqueName="3" name="Date accessed" queryTableFieldId="3" dataDxfId="8"/>
    <tableColumn id="4" xr3:uid="{3DE892C7-82A7-4AE4-B628-4202FBE59F1B}" uniqueName="4" name="Date modified" queryTableFieldId="4" dataDxfId="7"/>
    <tableColumn id="5" xr3:uid="{F812C890-294C-47CD-A5AC-55EFA8E78C3F}" uniqueName="5" name="Date created" queryTableFieldId="5" dataDxfId="6"/>
    <tableColumn id="6" xr3:uid="{A62E2EF4-4FB9-462E-8C9C-694294380397}" uniqueName="6" name="Folder Path" queryTableFieldId="6" dataDxfId="2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8B3014-FA52-4B65-A625-9FF19BB29571}" name="ICCS" displayName="ICCS" ref="F1:K94" tableType="queryTable" totalsRowShown="0">
  <autoFilter ref="F1:K94" xr:uid="{948B3014-FA52-4B65-A625-9FF19BB29571}"/>
  <tableColumns count="6">
    <tableColumn id="1" xr3:uid="{97CF4B3F-5095-466A-9C9C-C7D211B4562F}" uniqueName="1" name="Name" queryTableFieldId="1" dataDxfId="26"/>
    <tableColumn id="2" xr3:uid="{5EA0F131-FD5F-4BFA-85C6-E73B000EC554}" uniqueName="2" name="Extension" queryTableFieldId="2" dataDxfId="25"/>
    <tableColumn id="3" xr3:uid="{6E2588C8-C670-4EE2-833C-940FEE139E62}" uniqueName="3" name="Date accessed" queryTableFieldId="3" dataDxfId="5"/>
    <tableColumn id="4" xr3:uid="{8AD89E05-F267-414B-B5CA-68D09AA77340}" uniqueName="4" name="Date modified" queryTableFieldId="4" dataDxfId="4"/>
    <tableColumn id="5" xr3:uid="{C2CCF7A5-8407-4A97-AC05-3AD293710753}" uniqueName="5" name="Date created" queryTableFieldId="5" dataDxfId="3"/>
    <tableColumn id="6" xr3:uid="{68F8A18F-81CB-4FE8-A5D1-28CF70C1DE9E}" uniqueName="6" name="Folder Path" queryTableFieldId="6" dataDxfId="2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510A36-7DCB-4990-A0B4-226A624D60CC}" name="ECT" displayName="ECT" ref="E1:J83" tableType="queryTable" totalsRowShown="0">
  <autoFilter ref="E1:J83" xr:uid="{87510A36-7DCB-4990-A0B4-226A624D60CC}"/>
  <tableColumns count="6">
    <tableColumn id="1" xr3:uid="{F448D9AE-3373-4CFF-AF4B-D88EE6525B5E}" uniqueName="1" name="Name" queryTableFieldId="1" dataDxfId="47"/>
    <tableColumn id="2" xr3:uid="{7D64A176-4019-49F8-B912-32BEF05B3245}" uniqueName="2" name="Extension" queryTableFieldId="2" dataDxfId="46"/>
    <tableColumn id="3" xr3:uid="{741FABEE-939E-4774-8E96-9B5DD37C1670}" uniqueName="3" name="Date accessed" queryTableFieldId="3" dataDxfId="2"/>
    <tableColumn id="4" xr3:uid="{C209C00B-47B7-4C37-802C-1E3C98442548}" uniqueName="4" name="Date modified" queryTableFieldId="4" dataDxfId="1"/>
    <tableColumn id="5" xr3:uid="{877C9E25-1A66-4B31-ABD8-DA70739B510A}" uniqueName="5" name="Date created" queryTableFieldId="5" dataDxfId="0"/>
    <tableColumn id="6" xr3:uid="{B570DC2E-2473-431D-9C9C-9A5A3499D1A1}" uniqueName="6" name="Folder Path" queryTableFieldId="6" dataDxf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9CAB-AB03-4A94-A650-DC8F25231B61}">
  <sheetPr>
    <tabColor theme="8" tint="0.79998168889431442"/>
  </sheetPr>
  <dimension ref="A1:J2"/>
  <sheetViews>
    <sheetView workbookViewId="0">
      <pane ySplit="1" topLeftCell="A2" activePane="bottomLeft" state="frozen"/>
      <selection pane="bottomLeft" activeCell="E1" sqref="E1:J2"/>
    </sheetView>
  </sheetViews>
  <sheetFormatPr defaultRowHeight="16.5" x14ac:dyDescent="0.45"/>
  <cols>
    <col min="5" max="5" width="25.33203125" bestFit="1" customWidth="1"/>
    <col min="6" max="6" width="11.33203125" bestFit="1" customWidth="1"/>
    <col min="7" max="7" width="15.33203125" bestFit="1" customWidth="1"/>
    <col min="8" max="8" width="15.4140625" bestFit="1" customWidth="1"/>
    <col min="9" max="9" width="14.1640625" bestFit="1" customWidth="1"/>
    <col min="10" max="10" width="52.83203125" bestFit="1" customWidth="1"/>
  </cols>
  <sheetData>
    <row r="1" spans="1:10" x14ac:dyDescent="0.45">
      <c r="A1" s="4" t="s">
        <v>21</v>
      </c>
      <c r="B1" s="4" t="s">
        <v>22</v>
      </c>
      <c r="C1" s="4" t="s">
        <v>23</v>
      </c>
      <c r="D1" s="4"/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45">
      <c r="A2" s="2" t="b">
        <v>1</v>
      </c>
      <c r="B2" s="2" t="b">
        <v>0</v>
      </c>
      <c r="C2" s="2" t="b">
        <v>0</v>
      </c>
      <c r="D2" s="3" t="str">
        <f>HYPERLINK(ERP[[#This Row],[Folder Path]]&amp;ERP[[#This Row],[Name]], "เปิดไฟล์")</f>
        <v>เปิดไฟล์</v>
      </c>
      <c r="E2" t="s">
        <v>65</v>
      </c>
      <c r="F2" t="s">
        <v>24</v>
      </c>
      <c r="G2" s="1">
        <v>46057.575625763886</v>
      </c>
      <c r="H2" s="1">
        <v>45905.573551574074</v>
      </c>
      <c r="I2" s="1">
        <v>45905.573547928238</v>
      </c>
      <c r="J2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6968-4C8A-4C45-87D3-E145223A0AEF}">
  <sheetPr>
    <tabColor theme="7" tint="0.79998168889431442"/>
  </sheetPr>
  <dimension ref="A1:J15"/>
  <sheetViews>
    <sheetView workbookViewId="0">
      <pane ySplit="1" topLeftCell="A2" activePane="bottomLeft" state="frozen"/>
      <selection pane="bottomLeft" activeCell="E21" sqref="E21"/>
    </sheetView>
  </sheetViews>
  <sheetFormatPr defaultRowHeight="16.5" x14ac:dyDescent="0.45"/>
  <cols>
    <col min="4" max="4" width="6.33203125" bestFit="1" customWidth="1"/>
    <col min="5" max="5" width="55.1640625" bestFit="1" customWidth="1"/>
    <col min="6" max="6" width="11.33203125" bestFit="1" customWidth="1"/>
    <col min="7" max="7" width="15.33203125" bestFit="1" customWidth="1"/>
    <col min="8" max="8" width="15.4140625" bestFit="1" customWidth="1"/>
    <col min="9" max="9" width="15.25" bestFit="1" customWidth="1"/>
    <col min="10" max="10" width="53.08203125" bestFit="1" customWidth="1"/>
  </cols>
  <sheetData>
    <row r="1" spans="1:10" x14ac:dyDescent="0.45">
      <c r="A1" s="4" t="s">
        <v>21</v>
      </c>
      <c r="B1" s="4" t="s">
        <v>22</v>
      </c>
      <c r="C1" s="4" t="s">
        <v>23</v>
      </c>
      <c r="D1" s="4"/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45">
      <c r="A2" s="2" t="b">
        <v>1</v>
      </c>
      <c r="B2" s="2" t="b">
        <v>0</v>
      </c>
      <c r="C2" s="2" t="b">
        <v>0</v>
      </c>
      <c r="D2" s="3" t="str">
        <f>HYPERLINK(SKC[[#This Row],[Folder Path]]&amp;SKC[[#This Row],[Name]], "เปิดไฟล์")</f>
        <v>เปิดไฟล์</v>
      </c>
      <c r="E2" t="s">
        <v>31</v>
      </c>
      <c r="F2" t="s">
        <v>24</v>
      </c>
      <c r="G2" s="1">
        <v>46057.575636516201</v>
      </c>
      <c r="H2" s="1">
        <v>45894.725775810184</v>
      </c>
      <c r="I2" s="1">
        <v>45898.719288865737</v>
      </c>
      <c r="J2" t="s">
        <v>32</v>
      </c>
    </row>
    <row r="3" spans="1:10" x14ac:dyDescent="0.45">
      <c r="A3" s="2" t="b">
        <v>1</v>
      </c>
      <c r="B3" s="2" t="b">
        <v>0</v>
      </c>
      <c r="C3" s="2" t="b">
        <v>0</v>
      </c>
      <c r="D3" s="3" t="str">
        <f>HYPERLINK(SKC[[#This Row],[Folder Path]]&amp;SKC[[#This Row],[Name]], "เปิดไฟล์")</f>
        <v>เปิดไฟล์</v>
      </c>
      <c r="E3" t="s">
        <v>33</v>
      </c>
      <c r="F3" t="s">
        <v>24</v>
      </c>
      <c r="G3" s="1">
        <v>46057.575636562498</v>
      </c>
      <c r="H3" s="1">
        <v>45894.726053206017</v>
      </c>
      <c r="I3" s="1">
        <v>45898.719288888889</v>
      </c>
      <c r="J3" t="s">
        <v>32</v>
      </c>
    </row>
    <row r="4" spans="1:10" x14ac:dyDescent="0.45">
      <c r="A4" s="2" t="b">
        <v>1</v>
      </c>
      <c r="B4" s="2" t="b">
        <v>0</v>
      </c>
      <c r="C4" s="2" t="b">
        <v>0</v>
      </c>
      <c r="D4" s="3" t="str">
        <f>HYPERLINK(SKC[[#This Row],[Folder Path]]&amp;SKC[[#This Row],[Name]], "เปิดไฟล์")</f>
        <v>เปิดไฟล์</v>
      </c>
      <c r="E4" t="s">
        <v>34</v>
      </c>
      <c r="F4" t="s">
        <v>24</v>
      </c>
      <c r="G4" s="1">
        <v>46057.575636550922</v>
      </c>
      <c r="H4" s="1">
        <v>45894.725420787036</v>
      </c>
      <c r="I4" s="1">
        <v>45898.71928892361</v>
      </c>
      <c r="J4" t="s">
        <v>32</v>
      </c>
    </row>
    <row r="5" spans="1:10" x14ac:dyDescent="0.45">
      <c r="A5" s="2" t="b">
        <v>1</v>
      </c>
      <c r="B5" s="2" t="b">
        <v>0</v>
      </c>
      <c r="C5" s="2" t="b">
        <v>0</v>
      </c>
      <c r="D5" s="3" t="str">
        <f>HYPERLINK(SKC[[#This Row],[Folder Path]]&amp;SKC[[#This Row],[Name]], "เปิดไฟล์")</f>
        <v>เปิดไฟล์</v>
      </c>
      <c r="E5" t="s">
        <v>35</v>
      </c>
      <c r="F5" t="s">
        <v>24</v>
      </c>
      <c r="G5" s="1">
        <v>46057.575636608795</v>
      </c>
      <c r="H5" s="1">
        <v>45894.726277916663</v>
      </c>
      <c r="I5" s="1">
        <v>45898.719288946762</v>
      </c>
      <c r="J5" t="s">
        <v>32</v>
      </c>
    </row>
    <row r="6" spans="1:10" x14ac:dyDescent="0.45">
      <c r="A6" s="2" t="b">
        <v>1</v>
      </c>
      <c r="B6" s="2" t="b">
        <v>0</v>
      </c>
      <c r="C6" s="2" t="b">
        <v>0</v>
      </c>
      <c r="D6" s="3" t="str">
        <f>HYPERLINK(SKC[[#This Row],[Folder Path]]&amp;SKC[[#This Row],[Name]], "เปิดไฟล์")</f>
        <v>เปิดไฟล์</v>
      </c>
      <c r="E6" t="s">
        <v>36</v>
      </c>
      <c r="F6" t="s">
        <v>24</v>
      </c>
      <c r="G6" s="1">
        <v>46057.575636643516</v>
      </c>
      <c r="H6" s="1">
        <v>45897.576141759258</v>
      </c>
      <c r="I6" s="1">
        <v>45898.719288969907</v>
      </c>
      <c r="J6" t="s">
        <v>32</v>
      </c>
    </row>
    <row r="7" spans="1:10" x14ac:dyDescent="0.45">
      <c r="A7" s="2" t="b">
        <v>1</v>
      </c>
      <c r="B7" s="2" t="b">
        <v>0</v>
      </c>
      <c r="C7" s="2" t="b">
        <v>0</v>
      </c>
      <c r="D7" s="3" t="str">
        <f>HYPERLINK(SKC[[#This Row],[Folder Path]]&amp;SKC[[#This Row],[Name]], "เปิดไฟล์")</f>
        <v>เปิดไฟล์</v>
      </c>
      <c r="E7" t="s">
        <v>412</v>
      </c>
      <c r="F7" t="s">
        <v>134</v>
      </c>
      <c r="G7" s="1">
        <v>46057.575636643516</v>
      </c>
      <c r="H7" s="1">
        <v>46016.631997002318</v>
      </c>
      <c r="I7" s="1">
        <v>46016.631996365744</v>
      </c>
      <c r="J7" t="s">
        <v>32</v>
      </c>
    </row>
    <row r="8" spans="1:10" x14ac:dyDescent="0.45">
      <c r="A8" s="2" t="b">
        <v>1</v>
      </c>
      <c r="B8" s="2" t="b">
        <v>0</v>
      </c>
      <c r="C8" s="2" t="b">
        <v>0</v>
      </c>
      <c r="D8" s="3" t="str">
        <f>HYPERLINK(SKC[[#This Row],[Folder Path]]&amp;SKC[[#This Row],[Name]], "เปิดไฟล์")</f>
        <v>เปิดไฟล์</v>
      </c>
      <c r="E8" t="s">
        <v>150</v>
      </c>
      <c r="F8" t="s">
        <v>24</v>
      </c>
      <c r="G8" s="1">
        <v>46057.575636666668</v>
      </c>
      <c r="H8" s="1">
        <v>45946.595606504627</v>
      </c>
      <c r="I8" s="1">
        <v>45946.583069687498</v>
      </c>
      <c r="J8" t="s">
        <v>151</v>
      </c>
    </row>
    <row r="9" spans="1:10" x14ac:dyDescent="0.45">
      <c r="A9" s="2" t="b">
        <v>1</v>
      </c>
      <c r="B9" s="2" t="b">
        <v>0</v>
      </c>
      <c r="C9" s="2" t="b">
        <v>0</v>
      </c>
      <c r="D9" s="3" t="str">
        <f>HYPERLINK(SKC[[#This Row],[Folder Path]]&amp;SKC[[#This Row],[Name]], "เปิดไฟล์")</f>
        <v>เปิดไฟล์</v>
      </c>
      <c r="E9" t="s">
        <v>152</v>
      </c>
      <c r="F9" t="s">
        <v>24</v>
      </c>
      <c r="G9" s="1">
        <v>46057.575636770831</v>
      </c>
      <c r="H9" s="1">
        <v>45946.595316099534</v>
      </c>
      <c r="I9" s="1">
        <v>45946.590407129632</v>
      </c>
      <c r="J9" t="s">
        <v>151</v>
      </c>
    </row>
    <row r="10" spans="1:10" x14ac:dyDescent="0.45">
      <c r="A10" s="2" t="b">
        <v>1</v>
      </c>
      <c r="B10" s="2" t="b">
        <v>0</v>
      </c>
      <c r="C10" s="2" t="b">
        <v>0</v>
      </c>
      <c r="D10" s="3" t="str">
        <f>HYPERLINK(SKC[[#This Row],[Folder Path]]&amp;SKC[[#This Row],[Name]], "เปิดไฟล์")</f>
        <v>เปิดไฟล์</v>
      </c>
      <c r="E10" t="s">
        <v>224</v>
      </c>
      <c r="F10" t="s">
        <v>24</v>
      </c>
      <c r="G10" s="1">
        <v>46057.575636770831</v>
      </c>
      <c r="H10" s="1">
        <v>45968.439555543984</v>
      </c>
      <c r="I10" s="1">
        <v>45968.439552754629</v>
      </c>
      <c r="J10" t="s">
        <v>225</v>
      </c>
    </row>
    <row r="11" spans="1:10" x14ac:dyDescent="0.45">
      <c r="A11" s="2" t="b">
        <v>1</v>
      </c>
      <c r="B11" s="2" t="b">
        <v>0</v>
      </c>
      <c r="C11" s="2" t="b">
        <v>0</v>
      </c>
      <c r="D11" s="3" t="str">
        <f>HYPERLINK(SKC[[#This Row],[Folder Path]]&amp;SKC[[#This Row],[Name]], "เปิดไฟล์")</f>
        <v>เปิดไฟล์</v>
      </c>
      <c r="E11" t="s">
        <v>350</v>
      </c>
      <c r="F11" t="s">
        <v>24</v>
      </c>
      <c r="G11" s="1">
        <v>46057.575636782407</v>
      </c>
      <c r="H11" s="1">
        <v>45988.697550208337</v>
      </c>
      <c r="I11" s="1">
        <v>45988.697547361109</v>
      </c>
      <c r="J11" t="s">
        <v>346</v>
      </c>
    </row>
    <row r="12" spans="1:10" x14ac:dyDescent="0.45">
      <c r="A12" s="2" t="b">
        <v>1</v>
      </c>
      <c r="B12" s="2" t="b">
        <v>0</v>
      </c>
      <c r="C12" s="2" t="b">
        <v>0</v>
      </c>
      <c r="D12" s="3" t="str">
        <f>HYPERLINK(SKC[[#This Row],[Folder Path]]&amp;SKC[[#This Row],[Name]], "เปิดไฟล์")</f>
        <v>เปิดไฟล์</v>
      </c>
      <c r="E12" t="s">
        <v>409</v>
      </c>
      <c r="F12" t="s">
        <v>24</v>
      </c>
      <c r="G12" s="1">
        <v>46057.575636805559</v>
      </c>
      <c r="H12" s="1">
        <v>46014.605843263889</v>
      </c>
      <c r="I12" s="1">
        <v>46014.501240324076</v>
      </c>
      <c r="J12" t="s">
        <v>410</v>
      </c>
    </row>
    <row r="13" spans="1:10" x14ac:dyDescent="0.45">
      <c r="A13" s="2" t="b">
        <v>1</v>
      </c>
      <c r="B13" s="2" t="b">
        <v>0</v>
      </c>
      <c r="C13" s="2" t="b">
        <v>0</v>
      </c>
      <c r="D13" s="3" t="str">
        <f>HYPERLINK(SKC[[#This Row],[Folder Path]]&amp;SKC[[#This Row],[Name]], "เปิดไฟล์")</f>
        <v>เปิดไฟล์</v>
      </c>
      <c r="E13" t="s">
        <v>411</v>
      </c>
      <c r="F13" t="s">
        <v>24</v>
      </c>
      <c r="G13" s="1">
        <v>46057.575636793983</v>
      </c>
      <c r="H13" s="1">
        <v>46014.575273495371</v>
      </c>
      <c r="I13" s="1">
        <v>46014.575269791669</v>
      </c>
      <c r="J13" t="s">
        <v>410</v>
      </c>
    </row>
    <row r="14" spans="1:10" x14ac:dyDescent="0.45">
      <c r="A14" s="2" t="b">
        <v>1</v>
      </c>
      <c r="B14" s="2" t="b">
        <v>0</v>
      </c>
      <c r="C14" s="2" t="b">
        <v>0</v>
      </c>
      <c r="D14" s="3" t="str">
        <f>HYPERLINK(SKC[[#This Row],[Folder Path]]&amp;SKC[[#This Row],[Name]], "เปิดไฟล์")</f>
        <v>เปิดไฟล์</v>
      </c>
      <c r="E14" t="s">
        <v>426</v>
      </c>
      <c r="F14" t="s">
        <v>24</v>
      </c>
      <c r="G14" s="1">
        <v>46057.575636875001</v>
      </c>
      <c r="H14" s="1">
        <v>46051.622821238423</v>
      </c>
      <c r="I14" s="1">
        <v>46051.622816504627</v>
      </c>
      <c r="J14" t="s">
        <v>427</v>
      </c>
    </row>
    <row r="15" spans="1:10" x14ac:dyDescent="0.45">
      <c r="A15" s="2" t="b">
        <v>1</v>
      </c>
      <c r="B15" s="2" t="b">
        <v>0</v>
      </c>
      <c r="C15" s="2" t="b">
        <v>0</v>
      </c>
      <c r="D15" s="3" t="str">
        <f>HYPERLINK(SKC[[#This Row],[Folder Path]]&amp;SKC[[#This Row],[Name]], "เปิดไฟล์")</f>
        <v>เปิดไฟล์</v>
      </c>
      <c r="E15" t="s">
        <v>428</v>
      </c>
      <c r="F15" t="s">
        <v>134</v>
      </c>
      <c r="G15" s="1">
        <v>46057.575636875001</v>
      </c>
      <c r="H15" s="1">
        <v>46051.62323597222</v>
      </c>
      <c r="I15" s="1">
        <v>46051.623235266205</v>
      </c>
      <c r="J15" t="s">
        <v>427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5BA3-AB72-45EA-BC93-39166F419536}">
  <sheetPr>
    <tabColor theme="3" tint="9.9978637043366805E-2"/>
  </sheetPr>
  <dimension ref="A1:K13"/>
  <sheetViews>
    <sheetView workbookViewId="0">
      <selection activeCell="F17" sqref="F17"/>
    </sheetView>
  </sheetViews>
  <sheetFormatPr defaultRowHeight="16.5" x14ac:dyDescent="0.45"/>
  <cols>
    <col min="6" max="6" width="51.4140625" bestFit="1" customWidth="1"/>
    <col min="7" max="7" width="11.33203125" bestFit="1" customWidth="1"/>
    <col min="8" max="8" width="15.33203125" bestFit="1" customWidth="1"/>
    <col min="9" max="9" width="15.4140625" bestFit="1" customWidth="1"/>
    <col min="10" max="10" width="15.25" bestFit="1" customWidth="1"/>
    <col min="11" max="11" width="61" bestFit="1" customWidth="1"/>
  </cols>
  <sheetData>
    <row r="1" spans="1:11" x14ac:dyDescent="0.45">
      <c r="A1" s="4" t="s">
        <v>21</v>
      </c>
      <c r="B1" s="4" t="s">
        <v>22</v>
      </c>
      <c r="C1" s="4" t="s">
        <v>23</v>
      </c>
      <c r="D1" s="4" t="s">
        <v>535</v>
      </c>
      <c r="E1" s="4"/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11" x14ac:dyDescent="0.45">
      <c r="A2" s="2" t="b">
        <v>0</v>
      </c>
      <c r="B2" s="2" t="b">
        <v>1</v>
      </c>
      <c r="C2" s="2" t="b">
        <v>1</v>
      </c>
      <c r="D2" s="2" t="b">
        <v>0</v>
      </c>
      <c r="E2" s="3" t="str">
        <f>HYPERLINK(burgundy_std[[#This Row],[Folder Path]]&amp;burgundy_std[[#This Row],[Name]], "เปิดไฟล์")</f>
        <v>เปิดไฟล์</v>
      </c>
      <c r="F2" t="s">
        <v>254</v>
      </c>
      <c r="G2" t="s">
        <v>24</v>
      </c>
      <c r="H2" s="1">
        <v>46097.719701111113</v>
      </c>
      <c r="I2" s="1">
        <v>45974.655278124999</v>
      </c>
      <c r="J2" s="1">
        <v>45974.655274942132</v>
      </c>
      <c r="K2" t="s">
        <v>255</v>
      </c>
    </row>
    <row r="3" spans="1:11" x14ac:dyDescent="0.45">
      <c r="A3" s="2" t="b">
        <v>0</v>
      </c>
      <c r="B3" s="2" t="b">
        <v>1</v>
      </c>
      <c r="C3" s="2" t="b">
        <v>1</v>
      </c>
      <c r="D3" s="2" t="b">
        <v>0</v>
      </c>
      <c r="E3" s="3" t="str">
        <f>HYPERLINK(burgundy_std[[#This Row],[Folder Path]]&amp;burgundy_std[[#This Row],[Name]], "เปิดไฟล์")</f>
        <v>เปิดไฟล์</v>
      </c>
      <c r="F3" t="s">
        <v>256</v>
      </c>
      <c r="G3" t="s">
        <v>24</v>
      </c>
      <c r="H3" s="1">
        <v>46057.575625555553</v>
      </c>
      <c r="I3" s="1">
        <v>45974.655755173611</v>
      </c>
      <c r="J3" s="1">
        <v>45974.655752268518</v>
      </c>
      <c r="K3" t="s">
        <v>255</v>
      </c>
    </row>
    <row r="4" spans="1:11" x14ac:dyDescent="0.45">
      <c r="A4" s="2" t="b">
        <v>0</v>
      </c>
      <c r="B4" s="2" t="b">
        <v>1</v>
      </c>
      <c r="C4" s="2" t="b">
        <v>1</v>
      </c>
      <c r="D4" s="2" t="b">
        <v>0</v>
      </c>
      <c r="E4" s="3" t="str">
        <f>HYPERLINK(burgundy_std[[#This Row],[Folder Path]]&amp;burgundy_std[[#This Row],[Name]], "เปิดไฟล์")</f>
        <v>เปิดไฟล์</v>
      </c>
      <c r="F4" t="s">
        <v>257</v>
      </c>
      <c r="G4" t="s">
        <v>24</v>
      </c>
      <c r="H4" s="1">
        <v>46057.57562560185</v>
      </c>
      <c r="I4" s="1">
        <v>45974.67718003472</v>
      </c>
      <c r="J4" s="1">
        <v>45974.656183599538</v>
      </c>
      <c r="K4" t="s">
        <v>255</v>
      </c>
    </row>
    <row r="5" spans="1:11" x14ac:dyDescent="0.45">
      <c r="A5" s="2" t="b">
        <v>0</v>
      </c>
      <c r="B5" s="2" t="b">
        <v>1</v>
      </c>
      <c r="C5" s="2" t="b">
        <v>1</v>
      </c>
      <c r="D5" s="2" t="b">
        <v>0</v>
      </c>
      <c r="E5" s="3" t="str">
        <f>HYPERLINK(burgundy_std[[#This Row],[Folder Path]]&amp;burgundy_std[[#This Row],[Name]], "เปิดไฟล์")</f>
        <v>เปิดไฟล์</v>
      </c>
      <c r="F5" t="s">
        <v>259</v>
      </c>
      <c r="G5" t="s">
        <v>24</v>
      </c>
      <c r="H5" s="1">
        <v>46097.719491585645</v>
      </c>
      <c r="I5" s="1">
        <v>45975.438308599536</v>
      </c>
      <c r="J5" s="1">
        <v>45975.438305844909</v>
      </c>
      <c r="K5" t="s">
        <v>260</v>
      </c>
    </row>
    <row r="6" spans="1:11" x14ac:dyDescent="0.45">
      <c r="A6" s="2" t="b">
        <v>0</v>
      </c>
      <c r="B6" s="2" t="b">
        <v>1</v>
      </c>
      <c r="C6" s="2" t="b">
        <v>0</v>
      </c>
      <c r="D6" s="2" t="b">
        <v>0</v>
      </c>
      <c r="E6" s="3" t="str">
        <f>HYPERLINK(burgundy_std[[#This Row],[Folder Path]]&amp;burgundy_std[[#This Row],[Name]], "เปิดไฟล์")</f>
        <v>เปิดไฟล์</v>
      </c>
      <c r="F6" t="s">
        <v>521</v>
      </c>
      <c r="G6" t="s">
        <v>24</v>
      </c>
      <c r="H6" s="1">
        <v>46097.713132187499</v>
      </c>
      <c r="I6" s="1">
        <v>46097.713132187499</v>
      </c>
      <c r="J6" s="1">
        <v>46097.71312912037</v>
      </c>
      <c r="K6" t="s">
        <v>522</v>
      </c>
    </row>
    <row r="7" spans="1:11" x14ac:dyDescent="0.45">
      <c r="A7" s="2" t="b">
        <v>0</v>
      </c>
      <c r="B7" s="2" t="b">
        <v>1</v>
      </c>
      <c r="C7" s="2" t="b">
        <v>0</v>
      </c>
      <c r="D7" s="2" t="b">
        <v>0</v>
      </c>
      <c r="E7" s="3" t="str">
        <f>HYPERLINK(burgundy_std[[#This Row],[Folder Path]]&amp;burgundy_std[[#This Row],[Name]], "เปิดไฟล์")</f>
        <v>เปิดไฟล์</v>
      </c>
      <c r="F7" t="s">
        <v>536</v>
      </c>
      <c r="G7" t="s">
        <v>24</v>
      </c>
      <c r="H7" s="1">
        <v>46098.475408645834</v>
      </c>
      <c r="I7" s="1">
        <v>46098.475408645834</v>
      </c>
      <c r="J7" s="1">
        <v>46098.47540541667</v>
      </c>
      <c r="K7" t="s">
        <v>522</v>
      </c>
    </row>
    <row r="8" spans="1:11" x14ac:dyDescent="0.45">
      <c r="A8" s="2" t="b">
        <v>0</v>
      </c>
      <c r="B8" s="2" t="b">
        <v>1</v>
      </c>
      <c r="C8" s="2" t="b">
        <v>0</v>
      </c>
      <c r="D8" s="2" t="b">
        <v>0</v>
      </c>
      <c r="E8" s="3" t="str">
        <f>HYPERLINK(burgundy_std[[#This Row],[Folder Path]]&amp;burgundy_std[[#This Row],[Name]], "เปิดไฟล์")</f>
        <v>เปิดไฟล์</v>
      </c>
      <c r="F8" t="s">
        <v>537</v>
      </c>
      <c r="G8" t="s">
        <v>24</v>
      </c>
      <c r="H8" s="1">
        <v>46098.475678437499</v>
      </c>
      <c r="I8" s="1">
        <v>46098.475678437499</v>
      </c>
      <c r="J8" s="1">
        <v>46098.475675671296</v>
      </c>
      <c r="K8" t="s">
        <v>522</v>
      </c>
    </row>
    <row r="9" spans="1:11" x14ac:dyDescent="0.45">
      <c r="A9" s="2" t="b">
        <v>0</v>
      </c>
      <c r="B9" s="2" t="b">
        <v>1</v>
      </c>
      <c r="C9" s="2" t="b">
        <v>0</v>
      </c>
      <c r="D9" s="2" t="b">
        <v>0</v>
      </c>
      <c r="E9" s="3" t="str">
        <f>HYPERLINK(burgundy_std[[#This Row],[Folder Path]]&amp;burgundy_std[[#This Row],[Name]], "เปิดไฟล์")</f>
        <v>เปิดไฟล์</v>
      </c>
      <c r="F9" t="s">
        <v>538</v>
      </c>
      <c r="G9" t="s">
        <v>24</v>
      </c>
      <c r="H9" s="1">
        <v>46098.476446122688</v>
      </c>
      <c r="I9" s="1">
        <v>46098.476446122688</v>
      </c>
      <c r="J9" s="1">
        <v>46098.476443240739</v>
      </c>
      <c r="K9" t="s">
        <v>522</v>
      </c>
    </row>
    <row r="10" spans="1:11" x14ac:dyDescent="0.45">
      <c r="A10" s="2" t="b">
        <v>0</v>
      </c>
      <c r="B10" s="2" t="b">
        <v>1</v>
      </c>
      <c r="C10" s="2" t="b">
        <v>0</v>
      </c>
      <c r="D10" s="2" t="b">
        <v>0</v>
      </c>
      <c r="E10" s="3" t="str">
        <f>HYPERLINK(burgundy_std[[#This Row],[Folder Path]]&amp;burgundy_std[[#This Row],[Name]], "เปิดไฟล์")</f>
        <v>เปิดไฟล์</v>
      </c>
      <c r="F10" t="s">
        <v>539</v>
      </c>
      <c r="G10" t="s">
        <v>24</v>
      </c>
      <c r="H10" s="1">
        <v>46098.4767081713</v>
      </c>
      <c r="I10" s="1">
        <v>46098.4767081713</v>
      </c>
      <c r="J10" s="1">
        <v>46098.476705439818</v>
      </c>
      <c r="K10" t="s">
        <v>522</v>
      </c>
    </row>
    <row r="11" spans="1:11" x14ac:dyDescent="0.45">
      <c r="A11" s="2" t="b">
        <v>0</v>
      </c>
      <c r="B11" s="2" t="b">
        <v>1</v>
      </c>
      <c r="C11" s="2" t="b">
        <v>0</v>
      </c>
      <c r="D11" s="2" t="b">
        <v>0</v>
      </c>
      <c r="E11" s="3" t="str">
        <f>HYPERLINK(burgundy_std[[#This Row],[Folder Path]]&amp;burgundy_std[[#This Row],[Name]], "เปิดไฟล์")</f>
        <v>เปิดไฟล์</v>
      </c>
      <c r="F11" t="s">
        <v>540</v>
      </c>
      <c r="G11" t="s">
        <v>24</v>
      </c>
      <c r="H11" s="1">
        <v>46098.476869606478</v>
      </c>
      <c r="I11" s="1">
        <v>46098.476869606478</v>
      </c>
      <c r="J11" s="1">
        <v>46098.476866770834</v>
      </c>
      <c r="K11" t="s">
        <v>522</v>
      </c>
    </row>
    <row r="12" spans="1:11" x14ac:dyDescent="0.45">
      <c r="A12" s="2" t="b">
        <v>0</v>
      </c>
      <c r="B12" s="2" t="b">
        <v>1</v>
      </c>
      <c r="C12" s="2" t="b">
        <v>0</v>
      </c>
      <c r="D12" s="2" t="b">
        <v>0</v>
      </c>
      <c r="E12" s="3" t="str">
        <f>HYPERLINK(burgundy_std[[#This Row],[Folder Path]]&amp;burgundy_std[[#This Row],[Name]], "เปิดไฟล์")</f>
        <v>เปิดไฟล์</v>
      </c>
      <c r="F12" t="s">
        <v>541</v>
      </c>
      <c r="G12" t="s">
        <v>24</v>
      </c>
      <c r="H12" s="1">
        <v>46098.477041828701</v>
      </c>
      <c r="I12" s="1">
        <v>46098.477041828701</v>
      </c>
      <c r="J12" s="1">
        <v>46098.47703908565</v>
      </c>
      <c r="K12" t="s">
        <v>522</v>
      </c>
    </row>
    <row r="13" spans="1:11" x14ac:dyDescent="0.45">
      <c r="A13" s="2" t="b">
        <v>0</v>
      </c>
      <c r="B13" s="2" t="b">
        <v>1</v>
      </c>
      <c r="C13" s="2" t="b">
        <v>0</v>
      </c>
      <c r="D13" s="2" t="b">
        <v>0</v>
      </c>
      <c r="E13" s="3" t="str">
        <f>HYPERLINK(burgundy_std[[#This Row],[Folder Path]]&amp;burgundy_std[[#This Row],[Name]], "เปิดไฟล์")</f>
        <v>เปิดไฟล์</v>
      </c>
      <c r="F13" t="s">
        <v>542</v>
      </c>
      <c r="G13" t="s">
        <v>24</v>
      </c>
      <c r="H13" s="1">
        <v>46098.477207881944</v>
      </c>
      <c r="I13" s="1">
        <v>46098.477207881944</v>
      </c>
      <c r="J13" s="1">
        <v>46098.477205196759</v>
      </c>
      <c r="K13" t="s">
        <v>522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E8C1-9328-45A0-8DDE-673F4E0E223B}">
  <sheetPr>
    <tabColor rgb="FF002060"/>
  </sheetPr>
  <dimension ref="A1:J73"/>
  <sheetViews>
    <sheetView zoomScale="85" zoomScaleNormal="85" workbookViewId="0">
      <pane ySplit="1" topLeftCell="A42" activePane="bottomLeft" state="frozen"/>
      <selection pane="bottomLeft" activeCell="E76" sqref="E76"/>
    </sheetView>
  </sheetViews>
  <sheetFormatPr defaultRowHeight="16.5" x14ac:dyDescent="0.45"/>
  <cols>
    <col min="1" max="1" width="8.6640625" style="10"/>
    <col min="5" max="5" width="80.6640625" bestFit="1" customWidth="1"/>
    <col min="6" max="6" width="11.83203125" bestFit="1" customWidth="1"/>
    <col min="7" max="7" width="15.4140625" bestFit="1" customWidth="1"/>
    <col min="8" max="8" width="15.75" bestFit="1" customWidth="1"/>
    <col min="9" max="9" width="15.25" bestFit="1" customWidth="1"/>
    <col min="10" max="10" width="63.9140625" bestFit="1" customWidth="1"/>
  </cols>
  <sheetData>
    <row r="1" spans="1:10" x14ac:dyDescent="0.45">
      <c r="A1" s="8" t="s">
        <v>21</v>
      </c>
      <c r="B1" s="4" t="s">
        <v>22</v>
      </c>
      <c r="C1" s="4" t="s">
        <v>23</v>
      </c>
      <c r="D1" s="4"/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45">
      <c r="A2" s="9" t="b">
        <v>1</v>
      </c>
      <c r="B2" s="2" t="b">
        <v>1</v>
      </c>
      <c r="C2" s="2" t="b">
        <v>1</v>
      </c>
      <c r="D2" s="3" t="str">
        <f>HYPERLINK(burgundy_knex__2[[#This Row],[Folder Path]]&amp;burgundy_knex__2[[#This Row],[Name]], "เปิดไฟล์")</f>
        <v>เปิดไฟล์</v>
      </c>
      <c r="E2" t="s">
        <v>6</v>
      </c>
      <c r="F2" t="s">
        <v>24</v>
      </c>
      <c r="G2" s="1">
        <v>46057.575623182871</v>
      </c>
      <c r="H2" s="1">
        <v>45895.689869108799</v>
      </c>
      <c r="I2" s="1">
        <v>45898.509697013891</v>
      </c>
      <c r="J2" t="s">
        <v>46</v>
      </c>
    </row>
    <row r="3" spans="1:10" x14ac:dyDescent="0.45">
      <c r="A3" s="9" t="b">
        <v>1</v>
      </c>
      <c r="B3" s="2" t="b">
        <v>1</v>
      </c>
      <c r="C3" s="2" t="b">
        <v>1</v>
      </c>
      <c r="D3" s="3" t="str">
        <f>HYPERLINK(burgundy_knex__2[[#This Row],[Folder Path]]&amp;burgundy_knex__2[[#This Row],[Name]], "เปิดไฟล์")</f>
        <v>เปิดไฟล์</v>
      </c>
      <c r="E3" t="s">
        <v>7</v>
      </c>
      <c r="F3" t="s">
        <v>24</v>
      </c>
      <c r="G3" s="1">
        <v>46057.575623263889</v>
      </c>
      <c r="H3" s="1">
        <v>45924.560498460647</v>
      </c>
      <c r="I3" s="1">
        <v>45898.509697048612</v>
      </c>
      <c r="J3" t="s">
        <v>46</v>
      </c>
    </row>
    <row r="4" spans="1:10" x14ac:dyDescent="0.45">
      <c r="A4" s="9" t="b">
        <v>1</v>
      </c>
      <c r="B4" s="2" t="b">
        <v>1</v>
      </c>
      <c r="C4" s="2" t="b">
        <v>1</v>
      </c>
      <c r="D4" s="3" t="str">
        <f>HYPERLINK(burgundy_knex__2[[#This Row],[Folder Path]]&amp;burgundy_knex__2[[#This Row],[Name]], "เปิดไฟล์")</f>
        <v>เปิดไฟล์</v>
      </c>
      <c r="E4" t="s">
        <v>8</v>
      </c>
      <c r="F4" t="s">
        <v>24</v>
      </c>
      <c r="G4" s="1">
        <v>46057.575623391203</v>
      </c>
      <c r="H4" s="1">
        <v>45924.56144474537</v>
      </c>
      <c r="I4" s="1">
        <v>45898.509697083333</v>
      </c>
      <c r="J4" t="s">
        <v>46</v>
      </c>
    </row>
    <row r="5" spans="1:10" x14ac:dyDescent="0.45">
      <c r="A5" s="9" t="b">
        <v>1</v>
      </c>
      <c r="B5" s="2" t="b">
        <v>1</v>
      </c>
      <c r="C5" s="2" t="b">
        <v>1</v>
      </c>
      <c r="D5" s="3" t="str">
        <f>HYPERLINK(burgundy_knex__2[[#This Row],[Folder Path]]&amp;burgundy_knex__2[[#This Row],[Name]], "เปิดไฟล์")</f>
        <v>เปิดไฟล์</v>
      </c>
      <c r="E5" t="s">
        <v>9</v>
      </c>
      <c r="F5" t="s">
        <v>24</v>
      </c>
      <c r="G5" s="1">
        <v>46057.575623680554</v>
      </c>
      <c r="H5" s="1">
        <v>45924.561430405091</v>
      </c>
      <c r="I5" s="1">
        <v>45898.509697106485</v>
      </c>
      <c r="J5" t="s">
        <v>46</v>
      </c>
    </row>
    <row r="6" spans="1:10" x14ac:dyDescent="0.45">
      <c r="A6" s="9" t="b">
        <v>1</v>
      </c>
      <c r="B6" s="2" t="b">
        <v>1</v>
      </c>
      <c r="C6" s="2" t="b">
        <v>1</v>
      </c>
      <c r="D6" s="3" t="str">
        <f>HYPERLINK(burgundy_knex__2[[#This Row],[Folder Path]]&amp;burgundy_knex__2[[#This Row],[Name]], "เปิดไฟล์")</f>
        <v>เปิดไฟล์</v>
      </c>
      <c r="E6" t="s">
        <v>10</v>
      </c>
      <c r="F6" t="s">
        <v>24</v>
      </c>
      <c r="G6" s="1">
        <v>46057.575623634257</v>
      </c>
      <c r="H6" s="1">
        <v>45895.47348385417</v>
      </c>
      <c r="I6" s="1">
        <v>45898.509697141206</v>
      </c>
      <c r="J6" t="s">
        <v>46</v>
      </c>
    </row>
    <row r="7" spans="1:10" x14ac:dyDescent="0.45">
      <c r="A7" s="9" t="b">
        <v>1</v>
      </c>
      <c r="B7" s="2" t="b">
        <v>1</v>
      </c>
      <c r="C7" s="2" t="b">
        <v>1</v>
      </c>
      <c r="D7" s="3" t="str">
        <f>HYPERLINK(burgundy_knex__2[[#This Row],[Folder Path]]&amp;burgundy_knex__2[[#This Row],[Name]], "เปิดไฟล์")</f>
        <v>เปิดไฟล์</v>
      </c>
      <c r="E7" t="s">
        <v>11</v>
      </c>
      <c r="F7" t="s">
        <v>24</v>
      </c>
      <c r="G7" s="1">
        <v>46057.575623472221</v>
      </c>
      <c r="H7" s="1">
        <v>45924.562311018519</v>
      </c>
      <c r="I7" s="1">
        <v>45898.509697164351</v>
      </c>
      <c r="J7" t="s">
        <v>46</v>
      </c>
    </row>
    <row r="8" spans="1:10" x14ac:dyDescent="0.45">
      <c r="A8" s="9" t="b">
        <v>1</v>
      </c>
      <c r="B8" s="2" t="b">
        <v>1</v>
      </c>
      <c r="C8" s="2" t="b">
        <v>1</v>
      </c>
      <c r="D8" s="3" t="str">
        <f>HYPERLINK(burgundy_knex__2[[#This Row],[Folder Path]]&amp;burgundy_knex__2[[#This Row],[Name]], "เปิดไฟล์")</f>
        <v>เปิดไฟล์</v>
      </c>
      <c r="E8" t="s">
        <v>12</v>
      </c>
      <c r="F8" t="s">
        <v>24</v>
      </c>
      <c r="G8" s="1">
        <v>46057.575623495373</v>
      </c>
      <c r="H8" s="1">
        <v>45924.56327766204</v>
      </c>
      <c r="I8" s="1">
        <v>45898.509697199072</v>
      </c>
      <c r="J8" t="s">
        <v>46</v>
      </c>
    </row>
    <row r="9" spans="1:10" x14ac:dyDescent="0.45">
      <c r="A9" s="9" t="b">
        <v>1</v>
      </c>
      <c r="B9" s="2" t="b">
        <v>1</v>
      </c>
      <c r="C9" s="2" t="b">
        <v>1</v>
      </c>
      <c r="D9" s="3" t="str">
        <f>HYPERLINK(burgundy_knex__2[[#This Row],[Folder Path]]&amp;burgundy_knex__2[[#This Row],[Name]], "เปิดไฟล์")</f>
        <v>เปิดไฟล์</v>
      </c>
      <c r="E9" t="s">
        <v>13</v>
      </c>
      <c r="F9" t="s">
        <v>24</v>
      </c>
      <c r="G9" s="1">
        <v>46057.575623622688</v>
      </c>
      <c r="H9" s="1">
        <v>45924.602067465275</v>
      </c>
      <c r="I9" s="1">
        <v>45898.509697222224</v>
      </c>
      <c r="J9" t="s">
        <v>46</v>
      </c>
    </row>
    <row r="10" spans="1:10" x14ac:dyDescent="0.45">
      <c r="A10" s="9" t="b">
        <v>1</v>
      </c>
      <c r="B10" s="2" t="b">
        <v>1</v>
      </c>
      <c r="C10" s="2" t="b">
        <v>1</v>
      </c>
      <c r="D10" s="3" t="str">
        <f>HYPERLINK(burgundy_knex__2[[#This Row],[Folder Path]]&amp;burgundy_knex__2[[#This Row],[Name]], "เปิดไฟล์")</f>
        <v>เปิดไฟล์</v>
      </c>
      <c r="E10" t="s">
        <v>14</v>
      </c>
      <c r="F10" t="s">
        <v>24</v>
      </c>
      <c r="G10" s="1">
        <v>46057.57562358796</v>
      </c>
      <c r="H10" s="1">
        <v>45895.478236539355</v>
      </c>
      <c r="I10" s="1">
        <v>45898.509697268521</v>
      </c>
      <c r="J10" t="s">
        <v>46</v>
      </c>
    </row>
    <row r="11" spans="1:10" x14ac:dyDescent="0.45">
      <c r="A11" s="9" t="b">
        <v>1</v>
      </c>
      <c r="B11" s="2" t="b">
        <v>1</v>
      </c>
      <c r="C11" s="2" t="b">
        <v>1</v>
      </c>
      <c r="D11" s="3" t="str">
        <f>HYPERLINK(burgundy_knex__2[[#This Row],[Folder Path]]&amp;burgundy_knex__2[[#This Row],[Name]], "เปิดไฟล์")</f>
        <v>เปิดไฟล์</v>
      </c>
      <c r="E11" t="s">
        <v>15</v>
      </c>
      <c r="F11" t="s">
        <v>24</v>
      </c>
      <c r="G11" s="1">
        <v>46057.575623634257</v>
      </c>
      <c r="H11" s="1">
        <v>45895.479331203707</v>
      </c>
      <c r="I11" s="1">
        <v>45898.509697291665</v>
      </c>
      <c r="J11" t="s">
        <v>46</v>
      </c>
    </row>
    <row r="12" spans="1:10" x14ac:dyDescent="0.45">
      <c r="A12" s="9" t="b">
        <v>1</v>
      </c>
      <c r="B12" s="2" t="b">
        <v>1</v>
      </c>
      <c r="C12" s="2" t="b">
        <v>1</v>
      </c>
      <c r="D12" s="3" t="str">
        <f>HYPERLINK(burgundy_knex__2[[#This Row],[Folder Path]]&amp;burgundy_knex__2[[#This Row],[Name]], "เปิดไฟล์")</f>
        <v>เปิดไฟล์</v>
      </c>
      <c r="E12" t="s">
        <v>16</v>
      </c>
      <c r="F12" t="s">
        <v>24</v>
      </c>
      <c r="G12" s="1">
        <v>46057.575624004632</v>
      </c>
      <c r="H12" s="1">
        <v>45895.481835740742</v>
      </c>
      <c r="I12" s="1">
        <v>45898.509697326386</v>
      </c>
      <c r="J12" t="s">
        <v>46</v>
      </c>
    </row>
    <row r="13" spans="1:10" x14ac:dyDescent="0.45">
      <c r="A13" s="9" t="b">
        <v>1</v>
      </c>
      <c r="B13" s="2" t="b">
        <v>1</v>
      </c>
      <c r="C13" s="2" t="b">
        <v>1</v>
      </c>
      <c r="D13" s="3" t="str">
        <f>HYPERLINK(burgundy_knex__2[[#This Row],[Folder Path]]&amp;burgundy_knex__2[[#This Row],[Name]], "เปิดไฟล์")</f>
        <v>เปิดไฟล์</v>
      </c>
      <c r="E13" t="s">
        <v>17</v>
      </c>
      <c r="F13" t="s">
        <v>24</v>
      </c>
      <c r="G13" s="1">
        <v>46057.5756237963</v>
      </c>
      <c r="H13" s="1">
        <v>45895.545440023147</v>
      </c>
      <c r="I13" s="1">
        <v>45898.509697361114</v>
      </c>
      <c r="J13" t="s">
        <v>46</v>
      </c>
    </row>
    <row r="14" spans="1:10" x14ac:dyDescent="0.45">
      <c r="A14" s="9" t="b">
        <v>1</v>
      </c>
      <c r="B14" s="2" t="b">
        <v>1</v>
      </c>
      <c r="C14" s="2" t="b">
        <v>1</v>
      </c>
      <c r="D14" s="3" t="str">
        <f>HYPERLINK(burgundy_knex__2[[#This Row],[Folder Path]]&amp;burgundy_knex__2[[#This Row],[Name]], "เปิดไฟล์")</f>
        <v>เปิดไฟล์</v>
      </c>
      <c r="E14" t="s">
        <v>18</v>
      </c>
      <c r="F14" t="s">
        <v>24</v>
      </c>
      <c r="G14" s="1">
        <v>46057.575623842589</v>
      </c>
      <c r="H14" s="1">
        <v>45895.484018993055</v>
      </c>
      <c r="I14" s="1">
        <v>45898.509697395835</v>
      </c>
      <c r="J14" t="s">
        <v>46</v>
      </c>
    </row>
    <row r="15" spans="1:10" x14ac:dyDescent="0.45">
      <c r="A15" s="9" t="b">
        <v>1</v>
      </c>
      <c r="B15" s="2" t="b">
        <v>1</v>
      </c>
      <c r="C15" s="2" t="b">
        <v>1</v>
      </c>
      <c r="D15" s="3" t="str">
        <f>HYPERLINK(burgundy_knex__2[[#This Row],[Folder Path]]&amp;burgundy_knex__2[[#This Row],[Name]], "เปิดไฟล์")</f>
        <v>เปิดไฟล์</v>
      </c>
      <c r="E15" t="s">
        <v>19</v>
      </c>
      <c r="F15" t="s">
        <v>24</v>
      </c>
      <c r="G15" s="1">
        <v>46057.575623865741</v>
      </c>
      <c r="H15" s="1">
        <v>45895.484891990738</v>
      </c>
      <c r="I15" s="1">
        <v>45898.50969741898</v>
      </c>
      <c r="J15" t="s">
        <v>46</v>
      </c>
    </row>
    <row r="16" spans="1:10" x14ac:dyDescent="0.45">
      <c r="A16" s="9" t="b">
        <v>1</v>
      </c>
      <c r="B16" s="2" t="b">
        <v>1</v>
      </c>
      <c r="C16" s="2" t="b">
        <v>1</v>
      </c>
      <c r="D16" s="3" t="str">
        <f>HYPERLINK(burgundy_knex__2[[#This Row],[Folder Path]]&amp;burgundy_knex__2[[#This Row],[Name]], "เปิดไฟล์")</f>
        <v>เปิดไฟล์</v>
      </c>
      <c r="E16" t="s">
        <v>20</v>
      </c>
      <c r="F16" t="s">
        <v>24</v>
      </c>
      <c r="G16" s="1">
        <v>46057.575624166668</v>
      </c>
      <c r="H16" s="1">
        <v>45895.487337858794</v>
      </c>
      <c r="I16" s="1">
        <v>45898.509697453701</v>
      </c>
      <c r="J16" t="s">
        <v>46</v>
      </c>
    </row>
    <row r="17" spans="1:10" x14ac:dyDescent="0.45">
      <c r="A17" s="9" t="b">
        <v>1</v>
      </c>
      <c r="B17" s="2" t="b">
        <v>1</v>
      </c>
      <c r="C17" s="2" t="b">
        <v>1</v>
      </c>
      <c r="D17" s="3" t="str">
        <f>HYPERLINK(burgundy_knex__2[[#This Row],[Folder Path]]&amp;burgundy_knex__2[[#This Row],[Name]], "เปิดไฟล์")</f>
        <v>เปิดไฟล์</v>
      </c>
      <c r="E17" t="s">
        <v>25</v>
      </c>
      <c r="F17" t="s">
        <v>24</v>
      </c>
      <c r="G17" s="1">
        <v>46057.575623865741</v>
      </c>
      <c r="H17" s="1">
        <v>45896.771981319442</v>
      </c>
      <c r="I17" s="1">
        <v>45898.510426145833</v>
      </c>
      <c r="J17" t="s">
        <v>47</v>
      </c>
    </row>
    <row r="18" spans="1:10" x14ac:dyDescent="0.45">
      <c r="A18" s="9" t="b">
        <v>1</v>
      </c>
      <c r="B18" s="2" t="b">
        <v>1</v>
      </c>
      <c r="C18" s="2" t="b">
        <v>1</v>
      </c>
      <c r="D18" s="3" t="str">
        <f>HYPERLINK(burgundy_knex__2[[#This Row],[Folder Path]]&amp;burgundy_knex__2[[#This Row],[Name]], "เปิดไฟล์")</f>
        <v>เปิดไฟล์</v>
      </c>
      <c r="E18" t="s">
        <v>26</v>
      </c>
      <c r="F18" t="s">
        <v>24</v>
      </c>
      <c r="G18" s="1">
        <v>46057.575623912038</v>
      </c>
      <c r="H18" s="1">
        <v>45896.772292499998</v>
      </c>
      <c r="I18" s="1">
        <v>45898.510426168985</v>
      </c>
      <c r="J18" t="s">
        <v>47</v>
      </c>
    </row>
    <row r="19" spans="1:10" x14ac:dyDescent="0.45">
      <c r="A19" s="9" t="b">
        <v>1</v>
      </c>
      <c r="B19" s="2" t="b">
        <v>1</v>
      </c>
      <c r="C19" s="2" t="b">
        <v>0</v>
      </c>
      <c r="D19" s="3" t="str">
        <f>HYPERLINK(burgundy_knex__2[[#This Row],[Folder Path]]&amp;burgundy_knex__2[[#This Row],[Name]], "เปิดไฟล์")</f>
        <v>เปิดไฟล์</v>
      </c>
      <c r="E19" t="s">
        <v>27</v>
      </c>
      <c r="F19" t="s">
        <v>24</v>
      </c>
      <c r="G19" s="1">
        <v>46057.575624004632</v>
      </c>
      <c r="H19" s="1">
        <v>45896.771504386576</v>
      </c>
      <c r="I19" s="1">
        <v>45898.510426238427</v>
      </c>
      <c r="J19" t="s">
        <v>47</v>
      </c>
    </row>
    <row r="20" spans="1:10" x14ac:dyDescent="0.45">
      <c r="A20" s="9" t="b">
        <v>1</v>
      </c>
      <c r="B20" s="2" t="b">
        <v>1</v>
      </c>
      <c r="C20" s="2" t="b">
        <v>1</v>
      </c>
      <c r="D20" s="3" t="str">
        <f>HYPERLINK(burgundy_knex__2[[#This Row],[Folder Path]]&amp;burgundy_knex__2[[#This Row],[Name]], "เปิดไฟล์")</f>
        <v>เปิดไฟล์</v>
      </c>
      <c r="E20" t="s">
        <v>28</v>
      </c>
      <c r="F20" t="s">
        <v>24</v>
      </c>
      <c r="G20" s="1">
        <v>46057.575624074074</v>
      </c>
      <c r="H20" s="1">
        <v>45924.745914733794</v>
      </c>
      <c r="I20" s="1">
        <v>45898.541330532411</v>
      </c>
      <c r="J20" t="s">
        <v>48</v>
      </c>
    </row>
    <row r="21" spans="1:10" x14ac:dyDescent="0.45">
      <c r="A21" s="9" t="b">
        <v>1</v>
      </c>
      <c r="B21" s="2" t="b">
        <v>1</v>
      </c>
      <c r="C21" s="2" t="b">
        <v>1</v>
      </c>
      <c r="D21" s="3" t="str">
        <f>HYPERLINK(burgundy_knex__2[[#This Row],[Folder Path]]&amp;burgundy_knex__2[[#This Row],[Name]], "เปิดไฟล์")</f>
        <v>เปิดไฟล์</v>
      </c>
      <c r="E21" t="s">
        <v>29</v>
      </c>
      <c r="F21" t="s">
        <v>24</v>
      </c>
      <c r="G21" s="1">
        <v>46057.575624108795</v>
      </c>
      <c r="H21" s="1">
        <v>45898.541737800922</v>
      </c>
      <c r="I21" s="1">
        <v>45898.541734328704</v>
      </c>
      <c r="J21" t="s">
        <v>48</v>
      </c>
    </row>
    <row r="22" spans="1:10" x14ac:dyDescent="0.45">
      <c r="A22" s="9" t="b">
        <v>1</v>
      </c>
      <c r="B22" s="2" t="b">
        <v>1</v>
      </c>
      <c r="C22" s="2" t="b">
        <v>1</v>
      </c>
      <c r="D22" s="3" t="str">
        <f>HYPERLINK(burgundy_knex__2[[#This Row],[Folder Path]]&amp;burgundy_knex__2[[#This Row],[Name]], "เปิดไฟล์")</f>
        <v>เปิดไฟล์</v>
      </c>
      <c r="E22" t="s">
        <v>30</v>
      </c>
      <c r="F22" t="s">
        <v>24</v>
      </c>
      <c r="G22" s="1">
        <v>46057.575624166668</v>
      </c>
      <c r="H22" s="1">
        <v>45924.746436805559</v>
      </c>
      <c r="I22" s="1">
        <v>45898.546862430558</v>
      </c>
      <c r="J22" t="s">
        <v>48</v>
      </c>
    </row>
    <row r="23" spans="1:10" x14ac:dyDescent="0.45">
      <c r="A23" s="9" t="b">
        <v>0</v>
      </c>
      <c r="B23" s="2" t="b">
        <v>1</v>
      </c>
      <c r="C23" s="2" t="b">
        <v>1</v>
      </c>
      <c r="D23" s="3" t="str">
        <f>HYPERLINK(burgundy_knex__2[[#This Row],[Folder Path]]&amp;burgundy_knex__2[[#This Row],[Name]], "เปิดไฟล์")</f>
        <v>เปิดไฟล์</v>
      </c>
      <c r="E23" t="s">
        <v>37</v>
      </c>
      <c r="F23" t="s">
        <v>24</v>
      </c>
      <c r="G23" s="1">
        <v>46057.575624178244</v>
      </c>
      <c r="H23" s="1">
        <v>45901.684495138892</v>
      </c>
      <c r="I23" s="1">
        <v>45901.684490624997</v>
      </c>
      <c r="J23" t="s">
        <v>38</v>
      </c>
    </row>
    <row r="24" spans="1:10" x14ac:dyDescent="0.45">
      <c r="A24" s="9" t="b">
        <v>0</v>
      </c>
      <c r="B24" s="2" t="b">
        <v>1</v>
      </c>
      <c r="C24" s="2" t="b">
        <v>1</v>
      </c>
      <c r="D24" s="3" t="str">
        <f>HYPERLINK(burgundy_knex__2[[#This Row],[Folder Path]]&amp;burgundy_knex__2[[#This Row],[Name]], "เปิดไฟล์")</f>
        <v>เปิดไฟล์</v>
      </c>
      <c r="E24" t="s">
        <v>39</v>
      </c>
      <c r="F24" t="s">
        <v>24</v>
      </c>
      <c r="G24" s="1">
        <v>46057.575624212965</v>
      </c>
      <c r="H24" s="1">
        <v>45901.684779664349</v>
      </c>
      <c r="I24" s="1">
        <v>45901.684776770831</v>
      </c>
      <c r="J24" t="s">
        <v>38</v>
      </c>
    </row>
    <row r="25" spans="1:10" x14ac:dyDescent="0.45">
      <c r="A25" s="9" t="b">
        <v>0</v>
      </c>
      <c r="B25" s="5" t="b">
        <v>1</v>
      </c>
      <c r="C25" s="5" t="b">
        <v>0</v>
      </c>
      <c r="D25" s="6" t="str">
        <f>HYPERLINK(burgundy_knex__2[[#This Row],[Folder Path]]&amp;burgundy_knex__2[[#This Row],[Name]], "เปิดไฟล์")</f>
        <v>เปิดไฟล์</v>
      </c>
      <c r="E25" t="s">
        <v>40</v>
      </c>
      <c r="F25" t="s">
        <v>24</v>
      </c>
      <c r="G25" s="1">
        <v>46057.575624212965</v>
      </c>
      <c r="H25" s="1">
        <v>45901.684992025461</v>
      </c>
      <c r="I25" s="1">
        <v>45901.684988645837</v>
      </c>
      <c r="J25" t="s">
        <v>38</v>
      </c>
    </row>
    <row r="26" spans="1:10" x14ac:dyDescent="0.45">
      <c r="A26" s="9" t="b">
        <v>0</v>
      </c>
      <c r="B26" s="5" t="b">
        <v>1</v>
      </c>
      <c r="C26" s="5" t="b">
        <v>0</v>
      </c>
      <c r="D26" s="6" t="str">
        <f>HYPERLINK(burgundy_knex__2[[#This Row],[Folder Path]]&amp;burgundy_knex__2[[#This Row],[Name]], "เปิดไฟล์")</f>
        <v>เปิดไฟล์</v>
      </c>
      <c r="E26" t="s">
        <v>41</v>
      </c>
      <c r="F26" t="s">
        <v>24</v>
      </c>
      <c r="G26" s="1">
        <v>46057.575624282406</v>
      </c>
      <c r="H26" s="1">
        <v>45901.685178229163</v>
      </c>
      <c r="I26" s="1">
        <v>45901.685175219907</v>
      </c>
      <c r="J26" t="s">
        <v>38</v>
      </c>
    </row>
    <row r="27" spans="1:10" x14ac:dyDescent="0.45">
      <c r="A27" s="9" t="b">
        <v>0</v>
      </c>
      <c r="B27" s="2" t="b">
        <v>1</v>
      </c>
      <c r="C27" s="2" t="b">
        <v>1</v>
      </c>
      <c r="D27" s="3" t="str">
        <f>HYPERLINK(burgundy_knex__2[[#This Row],[Folder Path]]&amp;burgundy_knex__2[[#This Row],[Name]], "เปิดไฟล์")</f>
        <v>เปิดไฟล์</v>
      </c>
      <c r="E27" t="s">
        <v>42</v>
      </c>
      <c r="F27" t="s">
        <v>24</v>
      </c>
      <c r="G27" s="1">
        <v>46057.575624293982</v>
      </c>
      <c r="H27" s="1">
        <v>45901.685340115742</v>
      </c>
      <c r="I27" s="1">
        <v>45901.685337407405</v>
      </c>
      <c r="J27" t="s">
        <v>38</v>
      </c>
    </row>
    <row r="28" spans="1:10" x14ac:dyDescent="0.45">
      <c r="A28" s="9" t="b">
        <v>0</v>
      </c>
      <c r="B28" s="2" t="b">
        <v>1</v>
      </c>
      <c r="C28" s="2" t="b">
        <v>1</v>
      </c>
      <c r="D28" s="3" t="str">
        <f>HYPERLINK(burgundy_knex__2[[#This Row],[Folder Path]]&amp;burgundy_knex__2[[#This Row],[Name]], "เปิดไฟล์")</f>
        <v>เปิดไฟล์</v>
      </c>
      <c r="E28" t="s">
        <v>43</v>
      </c>
      <c r="F28" t="s">
        <v>24</v>
      </c>
      <c r="G28" s="1">
        <v>46057.575624305558</v>
      </c>
      <c r="H28" s="1">
        <v>45901.706968946761</v>
      </c>
      <c r="I28" s="1">
        <v>45901.685472280093</v>
      </c>
      <c r="J28" t="s">
        <v>38</v>
      </c>
    </row>
    <row r="29" spans="1:10" x14ac:dyDescent="0.45">
      <c r="A29" s="9" t="b">
        <v>0</v>
      </c>
      <c r="B29" s="2" t="b">
        <v>1</v>
      </c>
      <c r="C29" s="2" t="b">
        <v>1</v>
      </c>
      <c r="D29" s="3" t="str">
        <f>HYPERLINK(burgundy_knex__2[[#This Row],[Folder Path]]&amp;burgundy_knex__2[[#This Row],[Name]], "เปิดไฟล์")</f>
        <v>เปิดไฟล์</v>
      </c>
      <c r="E29" t="s">
        <v>49</v>
      </c>
      <c r="F29" t="s">
        <v>24</v>
      </c>
      <c r="G29" s="1">
        <v>46057.575624386576</v>
      </c>
      <c r="H29" s="1">
        <v>45904.6992487963</v>
      </c>
      <c r="I29" s="1">
        <v>45904.699245115742</v>
      </c>
      <c r="J29" t="s">
        <v>50</v>
      </c>
    </row>
    <row r="30" spans="1:10" x14ac:dyDescent="0.45">
      <c r="A30" s="9" t="b">
        <v>0</v>
      </c>
      <c r="B30" s="2" t="b">
        <v>1</v>
      </c>
      <c r="C30" s="11" t="b">
        <v>0</v>
      </c>
      <c r="D30" s="3" t="str">
        <f>HYPERLINK(burgundy_knex__2[[#This Row],[Folder Path]]&amp;burgundy_knex__2[[#This Row],[Name]], "เปิดไฟล์")</f>
        <v>เปิดไฟล์</v>
      </c>
      <c r="E30" t="s">
        <v>51</v>
      </c>
      <c r="F30" t="s">
        <v>24</v>
      </c>
      <c r="G30" s="1">
        <v>46098.444119768516</v>
      </c>
      <c r="H30" s="1">
        <v>45904.699403553241</v>
      </c>
      <c r="I30" s="1">
        <v>45904.699400127312</v>
      </c>
      <c r="J30" t="s">
        <v>50</v>
      </c>
    </row>
    <row r="31" spans="1:10" x14ac:dyDescent="0.45">
      <c r="A31" s="9" t="b">
        <v>0</v>
      </c>
      <c r="B31" s="2" t="b">
        <v>1</v>
      </c>
      <c r="C31" s="11" t="b">
        <v>0</v>
      </c>
      <c r="D31" s="3" t="str">
        <f>HYPERLINK(burgundy_knex__2[[#This Row],[Folder Path]]&amp;burgundy_knex__2[[#This Row],[Name]], "เปิดไฟล์")</f>
        <v>เปิดไฟล์</v>
      </c>
      <c r="E31" t="s">
        <v>52</v>
      </c>
      <c r="F31" t="s">
        <v>24</v>
      </c>
      <c r="G31" s="1">
        <v>46057.575624618054</v>
      </c>
      <c r="H31" s="1">
        <v>45924.747132800927</v>
      </c>
      <c r="I31" s="1">
        <v>45904.699525081021</v>
      </c>
      <c r="J31" t="s">
        <v>50</v>
      </c>
    </row>
    <row r="32" spans="1:10" x14ac:dyDescent="0.45">
      <c r="A32" s="9" t="b">
        <v>0</v>
      </c>
      <c r="B32" s="2" t="b">
        <v>1</v>
      </c>
      <c r="C32" s="11" t="b">
        <v>0</v>
      </c>
      <c r="D32" s="3" t="str">
        <f>HYPERLINK(burgundy_knex__2[[#This Row],[Folder Path]]&amp;burgundy_knex__2[[#This Row],[Name]], "เปิดไฟล์")</f>
        <v>เปิดไฟล์</v>
      </c>
      <c r="E32" t="s">
        <v>53</v>
      </c>
      <c r="F32" t="s">
        <v>24</v>
      </c>
      <c r="G32" s="1">
        <v>46057.57562462963</v>
      </c>
      <c r="H32" s="1">
        <v>45904.699669479167</v>
      </c>
      <c r="I32" s="1">
        <v>45904.69966633102</v>
      </c>
      <c r="J32" t="s">
        <v>50</v>
      </c>
    </row>
    <row r="33" spans="1:10" x14ac:dyDescent="0.45">
      <c r="A33" s="9" t="b">
        <v>0</v>
      </c>
      <c r="B33" s="2" t="b">
        <v>1</v>
      </c>
      <c r="C33" s="11" t="b">
        <v>0</v>
      </c>
      <c r="D33" s="3" t="str">
        <f>HYPERLINK(burgundy_knex__2[[#This Row],[Folder Path]]&amp;burgundy_knex__2[[#This Row],[Name]], "เปิดไฟล์")</f>
        <v>เปิดไฟล์</v>
      </c>
      <c r="E33" t="s">
        <v>54</v>
      </c>
      <c r="F33" t="s">
        <v>24</v>
      </c>
      <c r="G33" s="1">
        <v>46057.575624513891</v>
      </c>
      <c r="H33" s="1">
        <v>45924.747530370369</v>
      </c>
      <c r="I33" s="1">
        <v>45904.699841574075</v>
      </c>
      <c r="J33" t="s">
        <v>50</v>
      </c>
    </row>
    <row r="34" spans="1:10" x14ac:dyDescent="0.45">
      <c r="A34" s="9" t="b">
        <v>0</v>
      </c>
      <c r="B34" s="2" t="b">
        <v>1</v>
      </c>
      <c r="C34" s="11" t="b">
        <v>0</v>
      </c>
      <c r="D34" s="3" t="str">
        <f>HYPERLINK(burgundy_knex__2[[#This Row],[Folder Path]]&amp;burgundy_knex__2[[#This Row],[Name]], "เปิดไฟล์")</f>
        <v>เปิดไฟล์</v>
      </c>
      <c r="E34" t="s">
        <v>55</v>
      </c>
      <c r="F34" t="s">
        <v>24</v>
      </c>
      <c r="G34" s="1">
        <v>46057.575624583333</v>
      </c>
      <c r="H34" s="1">
        <v>45904.700045844904</v>
      </c>
      <c r="I34" s="1">
        <v>45904.700041979166</v>
      </c>
      <c r="J34" t="s">
        <v>50</v>
      </c>
    </row>
    <row r="35" spans="1:10" x14ac:dyDescent="0.45">
      <c r="A35" s="9" t="b">
        <v>0</v>
      </c>
      <c r="B35" s="2" t="b">
        <v>1</v>
      </c>
      <c r="C35" s="11" t="b">
        <v>0</v>
      </c>
      <c r="D35" s="3" t="str">
        <f>HYPERLINK(burgundy_knex__2[[#This Row],[Folder Path]]&amp;burgundy_knex__2[[#This Row],[Name]], "เปิดไฟล์")</f>
        <v>เปิดไฟล์</v>
      </c>
      <c r="E35" t="s">
        <v>56</v>
      </c>
      <c r="F35" t="s">
        <v>24</v>
      </c>
      <c r="G35" s="1">
        <v>46057.575624594909</v>
      </c>
      <c r="H35" s="1">
        <v>45904.700201585649</v>
      </c>
      <c r="I35" s="1">
        <v>45904.700198379629</v>
      </c>
      <c r="J35" t="s">
        <v>50</v>
      </c>
    </row>
    <row r="36" spans="1:10" x14ac:dyDescent="0.45">
      <c r="A36" s="9" t="b">
        <v>0</v>
      </c>
      <c r="B36" s="2" t="b">
        <v>1</v>
      </c>
      <c r="C36" s="11" t="b">
        <v>0</v>
      </c>
      <c r="D36" s="3" t="str">
        <f>HYPERLINK(burgundy_knex__2[[#This Row],[Folder Path]]&amp;burgundy_knex__2[[#This Row],[Name]], "เปิดไฟล์")</f>
        <v>เปิดไฟล์</v>
      </c>
      <c r="E36" t="s">
        <v>57</v>
      </c>
      <c r="F36" t="s">
        <v>24</v>
      </c>
      <c r="G36" s="1">
        <v>46057.575624722223</v>
      </c>
      <c r="H36" s="1">
        <v>45904.700368993057</v>
      </c>
      <c r="I36" s="1">
        <v>45904.700365925928</v>
      </c>
      <c r="J36" t="s">
        <v>50</v>
      </c>
    </row>
    <row r="37" spans="1:10" x14ac:dyDescent="0.45">
      <c r="A37" s="9" t="b">
        <v>0</v>
      </c>
      <c r="B37" s="2" t="b">
        <v>1</v>
      </c>
      <c r="C37" s="11" t="b">
        <v>0</v>
      </c>
      <c r="D37" s="3" t="str">
        <f>HYPERLINK(burgundy_knex__2[[#This Row],[Folder Path]]&amp;burgundy_knex__2[[#This Row],[Name]], "เปิดไฟล์")</f>
        <v>เปิดไฟล์</v>
      </c>
      <c r="E37" t="s">
        <v>58</v>
      </c>
      <c r="F37" t="s">
        <v>24</v>
      </c>
      <c r="G37" s="1">
        <v>46057.575624872683</v>
      </c>
      <c r="H37" s="1">
        <v>45924.748003564811</v>
      </c>
      <c r="I37" s="1">
        <v>45904.7005240625</v>
      </c>
      <c r="J37" t="s">
        <v>50</v>
      </c>
    </row>
    <row r="38" spans="1:10" x14ac:dyDescent="0.45">
      <c r="A38" s="9" t="b">
        <v>0</v>
      </c>
      <c r="B38" s="2" t="b">
        <v>1</v>
      </c>
      <c r="C38" s="11" t="b">
        <v>0</v>
      </c>
      <c r="D38" s="3" t="str">
        <f>HYPERLINK(burgundy_knex__2[[#This Row],[Folder Path]]&amp;burgundy_knex__2[[#This Row],[Name]], "เปิดไฟล์")</f>
        <v>เปิดไฟล์</v>
      </c>
      <c r="E38" t="s">
        <v>59</v>
      </c>
      <c r="F38" t="s">
        <v>24</v>
      </c>
      <c r="G38" s="1">
        <v>46057.575624722223</v>
      </c>
      <c r="H38" s="1">
        <v>45904.700699189816</v>
      </c>
      <c r="I38" s="1">
        <v>45904.700696145832</v>
      </c>
      <c r="J38" t="s">
        <v>50</v>
      </c>
    </row>
    <row r="39" spans="1:10" x14ac:dyDescent="0.45">
      <c r="A39" s="9" t="b">
        <v>0</v>
      </c>
      <c r="B39" s="2" t="b">
        <v>1</v>
      </c>
      <c r="C39" s="2" t="b">
        <v>1</v>
      </c>
      <c r="D39" s="3" t="str">
        <f>HYPERLINK(burgundy_knex__2[[#This Row],[Folder Path]]&amp;burgundy_knex__2[[#This Row],[Name]], "เปิดไฟล์")</f>
        <v>เปิดไฟล์</v>
      </c>
      <c r="E39" t="s">
        <v>60</v>
      </c>
      <c r="F39" t="s">
        <v>24</v>
      </c>
      <c r="G39" s="1">
        <v>46057.575624756944</v>
      </c>
      <c r="H39" s="1">
        <v>45904.696527569446</v>
      </c>
      <c r="I39" s="1">
        <v>45904.696523460647</v>
      </c>
      <c r="J39" t="s">
        <v>61</v>
      </c>
    </row>
    <row r="40" spans="1:10" x14ac:dyDescent="0.45">
      <c r="A40" s="9" t="b">
        <v>0</v>
      </c>
      <c r="B40" s="2" t="b">
        <v>1</v>
      </c>
      <c r="C40" s="2" t="b">
        <v>1</v>
      </c>
      <c r="D40" s="3" t="str">
        <f>HYPERLINK(burgundy_knex__2[[#This Row],[Folder Path]]&amp;burgundy_knex__2[[#This Row],[Name]], "เปิดไฟล์")</f>
        <v>เปิดไฟล์</v>
      </c>
      <c r="E40" t="s">
        <v>62</v>
      </c>
      <c r="F40" t="s">
        <v>24</v>
      </c>
      <c r="G40" s="1">
        <v>46057.575624791665</v>
      </c>
      <c r="H40" s="1">
        <v>45904.696897233793</v>
      </c>
      <c r="I40" s="1">
        <v>45904.696893807872</v>
      </c>
      <c r="J40" t="s">
        <v>61</v>
      </c>
    </row>
    <row r="41" spans="1:10" x14ac:dyDescent="0.45">
      <c r="A41" s="9" t="b">
        <v>0</v>
      </c>
      <c r="B41" s="2" t="b">
        <v>1</v>
      </c>
      <c r="C41" s="2" t="b">
        <v>1</v>
      </c>
      <c r="D41" s="3" t="str">
        <f>HYPERLINK(burgundy_knex__2[[#This Row],[Folder Path]]&amp;burgundy_knex__2[[#This Row],[Name]], "เปิดไฟล์")</f>
        <v>เปิดไฟล์</v>
      </c>
      <c r="E41" t="s">
        <v>63</v>
      </c>
      <c r="F41" t="s">
        <v>24</v>
      </c>
      <c r="G41" s="1">
        <v>46057.575624803241</v>
      </c>
      <c r="H41" s="1">
        <v>45904.70132803241</v>
      </c>
      <c r="I41" s="1">
        <v>45904.70132414352</v>
      </c>
      <c r="J41" t="s">
        <v>61</v>
      </c>
    </row>
    <row r="42" spans="1:10" x14ac:dyDescent="0.45">
      <c r="A42" s="9" t="b">
        <v>0</v>
      </c>
      <c r="B42" s="2" t="b">
        <v>1</v>
      </c>
      <c r="C42" s="2" t="b">
        <v>1</v>
      </c>
      <c r="D42" s="3" t="str">
        <f>HYPERLINK(burgundy_knex__2[[#This Row],[Folder Path]]&amp;burgundy_knex__2[[#This Row],[Name]], "เปิดไฟล์")</f>
        <v>เปิดไฟล์</v>
      </c>
      <c r="E42" t="s">
        <v>64</v>
      </c>
      <c r="F42" t="s">
        <v>24</v>
      </c>
      <c r="G42" s="1">
        <v>46057.57562491898</v>
      </c>
      <c r="H42" s="1">
        <v>45904.701653090277</v>
      </c>
      <c r="I42" s="1">
        <v>45904.701650138886</v>
      </c>
      <c r="J42" t="s">
        <v>61</v>
      </c>
    </row>
    <row r="43" spans="1:10" x14ac:dyDescent="0.45">
      <c r="A43" s="9" t="b">
        <v>0</v>
      </c>
      <c r="B43" s="2" t="b">
        <v>1</v>
      </c>
      <c r="C43" s="2" t="b">
        <v>1</v>
      </c>
      <c r="D43" s="3" t="str">
        <f>HYPERLINK(burgundy_knex__2[[#This Row],[Folder Path]]&amp;burgundy_knex__2[[#This Row],[Name]], "เปิดไฟล์")</f>
        <v>เปิดไฟล์</v>
      </c>
      <c r="E43" t="s">
        <v>67</v>
      </c>
      <c r="F43" t="s">
        <v>24</v>
      </c>
      <c r="G43" s="1">
        <v>46057.575624976853</v>
      </c>
      <c r="H43" s="1">
        <v>45910.748049548609</v>
      </c>
      <c r="I43" s="1">
        <v>45910.748046099536</v>
      </c>
      <c r="J43" t="s">
        <v>68</v>
      </c>
    </row>
    <row r="44" spans="1:10" x14ac:dyDescent="0.45">
      <c r="A44" s="9" t="b">
        <v>0</v>
      </c>
      <c r="B44" s="2" t="b">
        <v>1</v>
      </c>
      <c r="C44" s="2" t="b">
        <v>1</v>
      </c>
      <c r="D44" s="3" t="str">
        <f>HYPERLINK(burgundy_knex__2[[#This Row],[Folder Path]]&amp;burgundy_knex__2[[#This Row],[Name]], "เปิดไฟล์")</f>
        <v>เปิดไฟล์</v>
      </c>
      <c r="E44" t="s">
        <v>69</v>
      </c>
      <c r="F44" t="s">
        <v>24</v>
      </c>
      <c r="G44" s="1">
        <v>46057.575624976853</v>
      </c>
      <c r="H44" s="1">
        <v>45910.747389247685</v>
      </c>
      <c r="I44" s="1">
        <v>45910.747385821756</v>
      </c>
      <c r="J44" t="s">
        <v>68</v>
      </c>
    </row>
    <row r="45" spans="1:10" x14ac:dyDescent="0.45">
      <c r="A45" s="9" t="b">
        <v>0</v>
      </c>
      <c r="B45" s="2" t="b">
        <v>1</v>
      </c>
      <c r="C45" s="2" t="b">
        <v>1</v>
      </c>
      <c r="D45" s="3" t="str">
        <f>HYPERLINK(burgundy_knex__2[[#This Row],[Folder Path]]&amp;burgundy_knex__2[[#This Row],[Name]], "เปิดไฟล์")</f>
        <v>เปิดไฟล์</v>
      </c>
      <c r="E45" t="s">
        <v>80</v>
      </c>
      <c r="F45" t="s">
        <v>24</v>
      </c>
      <c r="G45" s="1">
        <v>46057.575625046295</v>
      </c>
      <c r="H45" s="1">
        <v>45916.432992731483</v>
      </c>
      <c r="I45" s="1">
        <v>45916.432989456021</v>
      </c>
      <c r="J45" t="s">
        <v>81</v>
      </c>
    </row>
    <row r="46" spans="1:10" x14ac:dyDescent="0.45">
      <c r="A46" s="9" t="b">
        <v>0</v>
      </c>
      <c r="B46" s="2" t="b">
        <v>1</v>
      </c>
      <c r="C46" s="2" t="b">
        <v>1</v>
      </c>
      <c r="D46" s="3" t="str">
        <f>HYPERLINK(burgundy_knex__2[[#This Row],[Folder Path]]&amp;burgundy_knex__2[[#This Row],[Name]], "เปิดไฟล์")</f>
        <v>เปิดไฟล์</v>
      </c>
      <c r="E46" t="s">
        <v>105</v>
      </c>
      <c r="F46" t="s">
        <v>24</v>
      </c>
      <c r="G46" s="1">
        <v>46057.575625057871</v>
      </c>
      <c r="H46" s="1">
        <v>45924.674711388892</v>
      </c>
      <c r="I46" s="1">
        <v>45924.674707048609</v>
      </c>
      <c r="J46" t="s">
        <v>106</v>
      </c>
    </row>
    <row r="47" spans="1:10" x14ac:dyDescent="0.45">
      <c r="A47" s="9" t="b">
        <v>0</v>
      </c>
      <c r="B47" s="2" t="b">
        <v>1</v>
      </c>
      <c r="C47" s="2" t="b">
        <v>1</v>
      </c>
      <c r="D47" s="3" t="str">
        <f>HYPERLINK(burgundy_knex__2[[#This Row],[Folder Path]]&amp;burgundy_knex__2[[#This Row],[Name]], "เปิดไฟล์")</f>
        <v>เปิดไฟล์</v>
      </c>
      <c r="E47" t="s">
        <v>107</v>
      </c>
      <c r="F47" t="s">
        <v>24</v>
      </c>
      <c r="G47" s="1">
        <v>46057.575625081015</v>
      </c>
      <c r="H47" s="1">
        <v>45924.675210092595</v>
      </c>
      <c r="I47" s="1">
        <v>45924.67520636574</v>
      </c>
      <c r="J47" t="s">
        <v>106</v>
      </c>
    </row>
    <row r="48" spans="1:10" x14ac:dyDescent="0.45">
      <c r="A48" s="9" t="b">
        <v>0</v>
      </c>
      <c r="B48" s="2" t="b">
        <v>1</v>
      </c>
      <c r="C48" s="2" t="b">
        <v>1</v>
      </c>
      <c r="D48" s="3" t="str">
        <f>HYPERLINK(burgundy_knex__2[[#This Row],[Folder Path]]&amp;burgundy_knex__2[[#This Row],[Name]], "เปิดไฟล์")</f>
        <v>เปิดไฟล์</v>
      </c>
      <c r="E48" t="s">
        <v>210</v>
      </c>
      <c r="F48" t="s">
        <v>24</v>
      </c>
      <c r="G48" s="1">
        <v>46066.793842222221</v>
      </c>
      <c r="H48" s="1">
        <v>45960.597093310185</v>
      </c>
      <c r="I48" s="1">
        <v>45959.762137534723</v>
      </c>
      <c r="J48" t="s">
        <v>211</v>
      </c>
    </row>
    <row r="49" spans="1:10" x14ac:dyDescent="0.45">
      <c r="A49" s="9" t="b">
        <v>0</v>
      </c>
      <c r="B49" s="2" t="b">
        <v>1</v>
      </c>
      <c r="C49" s="2" t="b">
        <v>1</v>
      </c>
      <c r="D49" s="3" t="str">
        <f>HYPERLINK(burgundy_knex__2[[#This Row],[Folder Path]]&amp;burgundy_knex__2[[#This Row],[Name]], "เปิดไฟล์")</f>
        <v>เปิดไฟล์</v>
      </c>
      <c r="E49" t="s">
        <v>325</v>
      </c>
      <c r="F49" t="s">
        <v>24</v>
      </c>
      <c r="G49" s="1">
        <v>46066.793272291667</v>
      </c>
      <c r="H49" s="1">
        <v>45982.597065173613</v>
      </c>
      <c r="I49" s="1">
        <v>45982.59705960648</v>
      </c>
      <c r="J49" t="s">
        <v>326</v>
      </c>
    </row>
    <row r="50" spans="1:10" x14ac:dyDescent="0.45">
      <c r="A50" s="9" t="b">
        <v>0</v>
      </c>
      <c r="B50" s="2" t="b">
        <v>1</v>
      </c>
      <c r="C50" s="2" t="b">
        <v>1</v>
      </c>
      <c r="D50" s="3" t="str">
        <f>HYPERLINK(burgundy_knex__2[[#This Row],[Folder Path]]&amp;burgundy_knex__2[[#This Row],[Name]], "เปิดไฟล์")</f>
        <v>เปิดไฟล์</v>
      </c>
      <c r="E50" t="s">
        <v>327</v>
      </c>
      <c r="F50" t="s">
        <v>24</v>
      </c>
      <c r="G50" s="1">
        <v>46066.79410165509</v>
      </c>
      <c r="H50" s="1">
        <v>45982.659430150467</v>
      </c>
      <c r="I50" s="1">
        <v>45982.659426331018</v>
      </c>
      <c r="J50" t="s">
        <v>326</v>
      </c>
    </row>
    <row r="51" spans="1:10" x14ac:dyDescent="0.45">
      <c r="A51" s="9" t="b">
        <v>0</v>
      </c>
      <c r="B51" s="2" t="b">
        <v>1</v>
      </c>
      <c r="C51" s="2" t="b">
        <v>1</v>
      </c>
      <c r="D51" s="3" t="str">
        <f>HYPERLINK(burgundy_knex__2[[#This Row],[Folder Path]]&amp;burgundy_knex__2[[#This Row],[Name]], "เปิดไฟล์")</f>
        <v>เปิดไฟล์</v>
      </c>
      <c r="E51" t="s">
        <v>328</v>
      </c>
      <c r="F51" t="s">
        <v>24</v>
      </c>
      <c r="G51" s="1">
        <v>46066.794308310185</v>
      </c>
      <c r="H51" s="1">
        <v>45985.739931747688</v>
      </c>
      <c r="I51" s="1">
        <v>45985.73992871528</v>
      </c>
      <c r="J51" t="s">
        <v>329</v>
      </c>
    </row>
    <row r="52" spans="1:10" x14ac:dyDescent="0.45">
      <c r="A52" s="9" t="b">
        <v>0</v>
      </c>
      <c r="B52" s="2" t="b">
        <v>1</v>
      </c>
      <c r="C52" s="2" t="b">
        <v>1</v>
      </c>
      <c r="D52" s="3" t="str">
        <f>HYPERLINK(burgundy_knex__2[[#This Row],[Folder Path]]&amp;burgundy_knex__2[[#This Row],[Name]], "เปิดไฟล์")</f>
        <v>เปิดไฟล์</v>
      </c>
      <c r="E52" t="s">
        <v>330</v>
      </c>
      <c r="F52" t="s">
        <v>24</v>
      </c>
      <c r="G52" s="1">
        <v>46066.794624050926</v>
      </c>
      <c r="H52" s="1">
        <v>45985.740056122682</v>
      </c>
      <c r="I52" s="1">
        <v>45985.740053449073</v>
      </c>
      <c r="J52" t="s">
        <v>329</v>
      </c>
    </row>
    <row r="53" spans="1:10" x14ac:dyDescent="0.45">
      <c r="A53" s="9" t="b">
        <v>0</v>
      </c>
      <c r="B53" s="2" t="b">
        <v>1</v>
      </c>
      <c r="C53" s="2" t="b">
        <v>1</v>
      </c>
      <c r="D53" s="3" t="str">
        <f>HYPERLINK(burgundy_knex__2[[#This Row],[Folder Path]]&amp;burgundy_knex__2[[#This Row],[Name]], "เปิดไฟล์")</f>
        <v>เปิดไฟล์</v>
      </c>
      <c r="E53" t="s">
        <v>331</v>
      </c>
      <c r="F53" t="s">
        <v>24</v>
      </c>
      <c r="G53" s="1">
        <v>46066.795009259258</v>
      </c>
      <c r="H53" s="1">
        <v>45985.740151134261</v>
      </c>
      <c r="I53" s="1">
        <v>45985.740148217592</v>
      </c>
      <c r="J53" t="s">
        <v>329</v>
      </c>
    </row>
    <row r="54" spans="1:10" x14ac:dyDescent="0.45">
      <c r="A54" s="9" t="b">
        <v>0</v>
      </c>
      <c r="B54" s="2" t="b">
        <v>1</v>
      </c>
      <c r="C54" s="2" t="b">
        <v>1</v>
      </c>
      <c r="D54" s="3" t="str">
        <f>HYPERLINK(burgundy_knex__2[[#This Row],[Folder Path]]&amp;burgundy_knex__2[[#This Row],[Name]], "เปิดไฟล์")</f>
        <v>เปิดไฟล์</v>
      </c>
      <c r="E54" t="s">
        <v>332</v>
      </c>
      <c r="F54" t="s">
        <v>24</v>
      </c>
      <c r="G54" s="1">
        <v>46066.795370150459</v>
      </c>
      <c r="H54" s="1">
        <v>45985.740296678239</v>
      </c>
      <c r="I54" s="1">
        <v>45985.740293043978</v>
      </c>
      <c r="J54" t="s">
        <v>329</v>
      </c>
    </row>
    <row r="55" spans="1:10" x14ac:dyDescent="0.45">
      <c r="A55" s="9" t="b">
        <v>0</v>
      </c>
      <c r="B55" s="2" t="b">
        <v>1</v>
      </c>
      <c r="C55" s="2" t="b">
        <v>1</v>
      </c>
      <c r="D55" s="3" t="str">
        <f>HYPERLINK(burgundy_knex__2[[#This Row],[Folder Path]]&amp;burgundy_knex__2[[#This Row],[Name]], "เปิดไฟล์")</f>
        <v>เปิดไฟล์</v>
      </c>
      <c r="E55" t="s">
        <v>344</v>
      </c>
      <c r="F55" t="s">
        <v>24</v>
      </c>
      <c r="G55" s="1">
        <v>46098.4401965625</v>
      </c>
      <c r="H55" s="1">
        <v>45987.761853194446</v>
      </c>
      <c r="I55" s="1">
        <v>45987.635525590274</v>
      </c>
      <c r="J55" t="s">
        <v>345</v>
      </c>
    </row>
    <row r="56" spans="1:10" x14ac:dyDescent="0.45">
      <c r="A56" s="9" t="b">
        <v>0</v>
      </c>
      <c r="B56" s="2" t="b">
        <v>1</v>
      </c>
      <c r="C56" s="2" t="b">
        <v>1</v>
      </c>
      <c r="D56" s="3" t="str">
        <f>HYPERLINK(burgundy_knex__2[[#This Row],[Folder Path]]&amp;burgundy_knex__2[[#This Row],[Name]], "เปิดไฟล์")</f>
        <v>เปิดไฟล์</v>
      </c>
      <c r="E56" t="s">
        <v>347</v>
      </c>
      <c r="F56" t="s">
        <v>24</v>
      </c>
      <c r="G56" s="1">
        <v>46057.575625393518</v>
      </c>
      <c r="H56" s="1">
        <v>45989.581703136573</v>
      </c>
      <c r="I56" s="1">
        <v>45989.581699629627</v>
      </c>
      <c r="J56" t="s">
        <v>348</v>
      </c>
    </row>
    <row r="57" spans="1:10" x14ac:dyDescent="0.45">
      <c r="A57" s="9" t="b">
        <v>0</v>
      </c>
      <c r="B57" s="2" t="b">
        <v>1</v>
      </c>
      <c r="C57" s="2" t="b">
        <v>1</v>
      </c>
      <c r="D57" s="3" t="str">
        <f>HYPERLINK(burgundy_knex__2[[#This Row],[Folder Path]]&amp;burgundy_knex__2[[#This Row],[Name]], "เปิดไฟล์")</f>
        <v>เปิดไฟล์</v>
      </c>
      <c r="E57" t="s">
        <v>349</v>
      </c>
      <c r="F57" t="s">
        <v>24</v>
      </c>
      <c r="G57" s="1">
        <v>46057.57562541667</v>
      </c>
      <c r="H57" s="1">
        <v>45993.678906701389</v>
      </c>
      <c r="I57" s="1">
        <v>45989.582095810183</v>
      </c>
      <c r="J57" t="s">
        <v>348</v>
      </c>
    </row>
    <row r="58" spans="1:10" x14ac:dyDescent="0.45">
      <c r="A58" s="9" t="b">
        <v>0</v>
      </c>
      <c r="B58" s="2" t="b">
        <v>1</v>
      </c>
      <c r="C58" s="2" t="b">
        <v>0</v>
      </c>
      <c r="D58" s="3" t="str">
        <f>HYPERLINK(burgundy_knex__2[[#This Row],[Folder Path]]&amp;burgundy_knex__2[[#This Row],[Name]], "เปิดไฟล์")</f>
        <v>เปิดไฟล์</v>
      </c>
      <c r="E58" t="s">
        <v>377</v>
      </c>
      <c r="F58" t="s">
        <v>24</v>
      </c>
      <c r="G58" s="1">
        <v>46097.715501053244</v>
      </c>
      <c r="H58" s="1">
        <v>45995.498221192131</v>
      </c>
      <c r="I58" s="1">
        <v>45995.498217499997</v>
      </c>
      <c r="J58" t="s">
        <v>378</v>
      </c>
    </row>
    <row r="59" spans="1:10" x14ac:dyDescent="0.45">
      <c r="A59" s="9" t="b">
        <v>0</v>
      </c>
      <c r="B59" s="2" t="b">
        <v>1</v>
      </c>
      <c r="C59" s="2" t="b">
        <v>0</v>
      </c>
      <c r="D59" s="3" t="str">
        <f>HYPERLINK(burgundy_knex__2[[#This Row],[Folder Path]]&amp;burgundy_knex__2[[#This Row],[Name]], "เปิดไฟล์")</f>
        <v>เปิดไฟล์</v>
      </c>
      <c r="E59" t="s">
        <v>446</v>
      </c>
      <c r="F59" t="s">
        <v>24</v>
      </c>
      <c r="G59" s="1">
        <v>46097.715940821756</v>
      </c>
      <c r="H59" s="1">
        <v>46066.78892515046</v>
      </c>
      <c r="I59" s="1">
        <v>46066.788921087966</v>
      </c>
      <c r="J59" t="s">
        <v>447</v>
      </c>
    </row>
    <row r="60" spans="1:10" x14ac:dyDescent="0.45">
      <c r="A60" s="9" t="b">
        <v>0</v>
      </c>
      <c r="B60" s="2" t="b">
        <v>1</v>
      </c>
      <c r="C60" s="2" t="b">
        <v>0</v>
      </c>
      <c r="D60" s="3" t="str">
        <f>HYPERLINK(burgundy_knex__2[[#This Row],[Folder Path]]&amp;burgundy_knex__2[[#This Row],[Name]], "เปิดไฟล์")</f>
        <v>เปิดไฟล์</v>
      </c>
      <c r="E60" t="s">
        <v>448</v>
      </c>
      <c r="F60" t="s">
        <v>24</v>
      </c>
      <c r="G60" s="1">
        <v>46097.716753611108</v>
      </c>
      <c r="H60" s="1">
        <v>46066.789150462966</v>
      </c>
      <c r="I60" s="1">
        <v>46066.789146099538</v>
      </c>
      <c r="J60" t="s">
        <v>447</v>
      </c>
    </row>
    <row r="61" spans="1:10" x14ac:dyDescent="0.45">
      <c r="A61" s="9" t="b">
        <v>0</v>
      </c>
      <c r="B61" s="2" t="b">
        <v>1</v>
      </c>
      <c r="C61" s="2" t="b">
        <v>0</v>
      </c>
      <c r="D61" s="3" t="str">
        <f>HYPERLINK(burgundy_knex__2[[#This Row],[Folder Path]]&amp;burgundy_knex__2[[#This Row],[Name]], "เปิดไฟล์")</f>
        <v>เปิดไฟล์</v>
      </c>
      <c r="E61" t="s">
        <v>449</v>
      </c>
      <c r="F61" t="s">
        <v>24</v>
      </c>
      <c r="G61" s="1">
        <v>46097.718783344906</v>
      </c>
      <c r="H61" s="1">
        <v>46066.789537314813</v>
      </c>
      <c r="I61" s="1">
        <v>46066.789533483796</v>
      </c>
      <c r="J61" t="s">
        <v>447</v>
      </c>
    </row>
    <row r="62" spans="1:10" x14ac:dyDescent="0.45">
      <c r="A62" s="9" t="b">
        <v>0</v>
      </c>
      <c r="B62" s="2" t="b">
        <v>1</v>
      </c>
      <c r="C62" s="2" t="b">
        <v>0</v>
      </c>
      <c r="D62" s="3" t="str">
        <f>HYPERLINK(burgundy_knex__2[[#This Row],[Folder Path]]&amp;burgundy_knex__2[[#This Row],[Name]], "เปิดไฟล์")</f>
        <v>เปิดไฟล์</v>
      </c>
      <c r="E62" t="s">
        <v>450</v>
      </c>
      <c r="F62" t="s">
        <v>24</v>
      </c>
      <c r="G62" s="1">
        <v>46066.78973394676</v>
      </c>
      <c r="H62" s="1">
        <v>46066.78973394676</v>
      </c>
      <c r="I62" s="1">
        <v>46066.78973016204</v>
      </c>
      <c r="J62" t="s">
        <v>447</v>
      </c>
    </row>
    <row r="63" spans="1:10" x14ac:dyDescent="0.45">
      <c r="A63" s="9" t="b">
        <v>0</v>
      </c>
      <c r="B63" s="2" t="b">
        <v>1</v>
      </c>
      <c r="C63" s="2" t="b">
        <v>0</v>
      </c>
      <c r="D63" s="3" t="str">
        <f>HYPERLINK(burgundy_knex__2[[#This Row],[Folder Path]]&amp;burgundy_knex__2[[#This Row],[Name]], "เปิดไฟล์")</f>
        <v>เปิดไฟล์</v>
      </c>
      <c r="E63" t="s">
        <v>451</v>
      </c>
      <c r="F63" t="s">
        <v>24</v>
      </c>
      <c r="G63" s="1">
        <v>46066.789882418983</v>
      </c>
      <c r="H63" s="1">
        <v>46066.789882418983</v>
      </c>
      <c r="I63" s="1">
        <v>46066.789878055555</v>
      </c>
      <c r="J63" t="s">
        <v>447</v>
      </c>
    </row>
    <row r="64" spans="1:10" x14ac:dyDescent="0.45">
      <c r="A64" s="9" t="b">
        <v>0</v>
      </c>
      <c r="B64" s="2" t="b">
        <v>1</v>
      </c>
      <c r="C64" s="2" t="b">
        <v>0</v>
      </c>
      <c r="D64" s="3" t="str">
        <f>HYPERLINK(burgundy_knex__2[[#This Row],[Folder Path]]&amp;burgundy_knex__2[[#This Row],[Name]], "เปิดไฟล์")</f>
        <v>เปิดไฟล์</v>
      </c>
      <c r="E64" t="s">
        <v>521</v>
      </c>
      <c r="F64" t="s">
        <v>24</v>
      </c>
      <c r="G64" s="1">
        <v>46097.713532488429</v>
      </c>
      <c r="H64" s="1">
        <v>46097.713532488429</v>
      </c>
      <c r="I64" s="1">
        <v>46097.713529293978</v>
      </c>
      <c r="J64" t="s">
        <v>523</v>
      </c>
    </row>
    <row r="65" spans="1:10" x14ac:dyDescent="0.45">
      <c r="A65" s="9" t="b">
        <v>0</v>
      </c>
      <c r="B65" s="2" t="b">
        <v>1</v>
      </c>
      <c r="C65" s="2" t="b">
        <v>0</v>
      </c>
      <c r="D65" s="3" t="str">
        <f>HYPERLINK(burgundy_knex__2[[#This Row],[Folder Path]]&amp;burgundy_knex__2[[#This Row],[Name]], "เปิดไฟล์")</f>
        <v>เปิดไฟล์</v>
      </c>
      <c r="E65" t="s">
        <v>524</v>
      </c>
      <c r="F65" t="s">
        <v>24</v>
      </c>
      <c r="G65" s="1">
        <v>46098.47296900463</v>
      </c>
      <c r="H65" s="1">
        <v>46097.713734629629</v>
      </c>
      <c r="I65" s="1">
        <v>46097.713731956021</v>
      </c>
      <c r="J65" t="s">
        <v>523</v>
      </c>
    </row>
    <row r="66" spans="1:10" x14ac:dyDescent="0.45">
      <c r="A66" s="9" t="b">
        <v>0</v>
      </c>
      <c r="B66" s="2" t="b">
        <v>1</v>
      </c>
      <c r="C66" s="2" t="b">
        <v>0</v>
      </c>
      <c r="D66" s="3" t="str">
        <f>HYPERLINK(burgundy_knex__2[[#This Row],[Folder Path]]&amp;burgundy_knex__2[[#This Row],[Name]], "เปิดไฟล์")</f>
        <v>เปิดไฟล์</v>
      </c>
      <c r="E66" t="s">
        <v>525</v>
      </c>
      <c r="F66" t="s">
        <v>24</v>
      </c>
      <c r="G66" s="1">
        <v>46097.71386019676</v>
      </c>
      <c r="H66" s="1">
        <v>46097.71386019676</v>
      </c>
      <c r="I66" s="1">
        <v>46097.713857314811</v>
      </c>
      <c r="J66" t="s">
        <v>523</v>
      </c>
    </row>
    <row r="67" spans="1:10" x14ac:dyDescent="0.45">
      <c r="A67" s="9" t="b">
        <v>0</v>
      </c>
      <c r="B67" s="2" t="b">
        <v>1</v>
      </c>
      <c r="C67" s="2" t="b">
        <v>0</v>
      </c>
      <c r="D67" s="3" t="str">
        <f>HYPERLINK(burgundy_knex__2[[#This Row],[Folder Path]]&amp;burgundy_knex__2[[#This Row],[Name]], "เปิดไฟล์")</f>
        <v>เปิดไฟล์</v>
      </c>
      <c r="E67" t="s">
        <v>526</v>
      </c>
      <c r="F67" t="s">
        <v>24</v>
      </c>
      <c r="G67" s="1">
        <v>46097.714008310184</v>
      </c>
      <c r="H67" s="1">
        <v>46097.714008310184</v>
      </c>
      <c r="I67" s="1">
        <v>46097.714005578702</v>
      </c>
      <c r="J67" t="s">
        <v>523</v>
      </c>
    </row>
    <row r="68" spans="1:10" x14ac:dyDescent="0.45">
      <c r="A68" s="9" t="b">
        <v>0</v>
      </c>
      <c r="B68" s="2" t="b">
        <v>1</v>
      </c>
      <c r="C68" s="2" t="b">
        <v>0</v>
      </c>
      <c r="D68" s="3" t="str">
        <f>HYPERLINK(burgundy_knex__2[[#This Row],[Folder Path]]&amp;burgundy_knex__2[[#This Row],[Name]], "เปิดไฟล์")</f>
        <v>เปิดไฟล์</v>
      </c>
      <c r="E68" t="s">
        <v>527</v>
      </c>
      <c r="F68" t="s">
        <v>24</v>
      </c>
      <c r="G68" s="1">
        <v>46097.714183055556</v>
      </c>
      <c r="H68" s="1">
        <v>46097.714183055556</v>
      </c>
      <c r="I68" s="1">
        <v>46097.714180266201</v>
      </c>
      <c r="J68" t="s">
        <v>523</v>
      </c>
    </row>
    <row r="69" spans="1:10" x14ac:dyDescent="0.45">
      <c r="A69" s="9" t="b">
        <v>0</v>
      </c>
      <c r="B69" s="2" t="b">
        <v>1</v>
      </c>
      <c r="C69" s="2" t="b">
        <v>0</v>
      </c>
      <c r="D69" s="3" t="str">
        <f>HYPERLINK(burgundy_knex__2[[#This Row],[Folder Path]]&amp;burgundy_knex__2[[#This Row],[Name]], "เปิดไฟล์")</f>
        <v>เปิดไฟล์</v>
      </c>
      <c r="E69" t="s">
        <v>528</v>
      </c>
      <c r="F69" t="s">
        <v>24</v>
      </c>
      <c r="G69" s="1">
        <v>46097.714347696761</v>
      </c>
      <c r="H69" s="1">
        <v>46097.714347696761</v>
      </c>
      <c r="I69" s="1">
        <v>46097.714344594904</v>
      </c>
      <c r="J69" t="s">
        <v>523</v>
      </c>
    </row>
    <row r="70" spans="1:10" x14ac:dyDescent="0.45">
      <c r="A70" s="9" t="b">
        <v>0</v>
      </c>
      <c r="B70" s="2" t="b">
        <v>1</v>
      </c>
      <c r="C70" s="2" t="b">
        <v>0</v>
      </c>
      <c r="D70" s="3" t="str">
        <f>HYPERLINK(burgundy_knex__2[[#This Row],[Folder Path]]&amp;burgundy_knex__2[[#This Row],[Name]], "เปิดไฟล์")</f>
        <v>เปิดไฟล์</v>
      </c>
      <c r="E70" t="s">
        <v>529</v>
      </c>
      <c r="F70" t="s">
        <v>24</v>
      </c>
      <c r="G70" s="1">
        <v>46097.714478981485</v>
      </c>
      <c r="H70" s="1">
        <v>46097.714478981485</v>
      </c>
      <c r="I70" s="1">
        <v>46097.714476111112</v>
      </c>
      <c r="J70" t="s">
        <v>523</v>
      </c>
    </row>
    <row r="71" spans="1:10" x14ac:dyDescent="0.45">
      <c r="A71" s="9" t="b">
        <v>0</v>
      </c>
      <c r="B71" s="2" t="b">
        <v>1</v>
      </c>
      <c r="C71" s="2" t="b">
        <v>0</v>
      </c>
      <c r="D71" s="3" t="str">
        <f>HYPERLINK(burgundy_knex__2[[#This Row],[Folder Path]]&amp;burgundy_knex__2[[#This Row],[Name]], "เปิดไฟล์")</f>
        <v>เปิดไฟล์</v>
      </c>
      <c r="E71" t="s">
        <v>530</v>
      </c>
      <c r="F71" t="s">
        <v>24</v>
      </c>
      <c r="G71" s="1">
        <v>46097.714591099539</v>
      </c>
      <c r="H71" s="1">
        <v>46097.714591099539</v>
      </c>
      <c r="I71" s="1">
        <v>46097.71458832176</v>
      </c>
      <c r="J71" t="s">
        <v>523</v>
      </c>
    </row>
    <row r="72" spans="1:10" x14ac:dyDescent="0.45">
      <c r="B72" s="2" t="b">
        <v>1</v>
      </c>
      <c r="C72" s="11" t="b">
        <v>0</v>
      </c>
      <c r="D72" s="3" t="str">
        <f>HYPERLINK(burgundy_knex__2[[#This Row],[Folder Path]]&amp;burgundy_knex__2[[#This Row],[Name]], "เปิดไฟล์")</f>
        <v>เปิดไฟล์</v>
      </c>
      <c r="E72" t="s">
        <v>543</v>
      </c>
      <c r="F72" t="s">
        <v>24</v>
      </c>
      <c r="G72" s="1">
        <v>46098.598760520836</v>
      </c>
      <c r="H72" s="1">
        <v>46098.598760520836</v>
      </c>
      <c r="I72" s="1">
        <v>46098.598755416664</v>
      </c>
      <c r="J72" t="s">
        <v>544</v>
      </c>
    </row>
    <row r="73" spans="1:10" x14ac:dyDescent="0.45">
      <c r="B73" s="2" t="b">
        <v>1</v>
      </c>
      <c r="C73" s="11" t="b">
        <v>0</v>
      </c>
      <c r="D73" s="3" t="str">
        <f>HYPERLINK(burgundy_knex__2[[#This Row],[Folder Path]]&amp;burgundy_knex__2[[#This Row],[Name]], "เปิดไฟล์")</f>
        <v>เปิดไฟล์</v>
      </c>
      <c r="E73" t="s">
        <v>545</v>
      </c>
      <c r="F73" t="s">
        <v>24</v>
      </c>
      <c r="G73" s="1">
        <v>46098.598900486111</v>
      </c>
      <c r="H73" s="1">
        <v>46098.598900486111</v>
      </c>
      <c r="I73" s="1">
        <v>46098.598896134259</v>
      </c>
      <c r="J73" t="s">
        <v>544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B4AF-074E-4FDC-B8FA-A927CC113F42}">
  <sheetPr>
    <tabColor rgb="FFC00000"/>
  </sheetPr>
  <dimension ref="A1:J29"/>
  <sheetViews>
    <sheetView workbookViewId="0">
      <pane ySplit="1" topLeftCell="A17" activePane="bottomLeft" state="frozen"/>
      <selection pane="bottomLeft" activeCell="E33" sqref="E33"/>
    </sheetView>
  </sheetViews>
  <sheetFormatPr defaultRowHeight="16.5" x14ac:dyDescent="0.45"/>
  <cols>
    <col min="5" max="5" width="66.4140625" bestFit="1" customWidth="1"/>
    <col min="6" max="6" width="11.33203125" bestFit="1" customWidth="1"/>
    <col min="7" max="7" width="15.33203125" bestFit="1" customWidth="1"/>
    <col min="8" max="8" width="15.4140625" bestFit="1" customWidth="1"/>
    <col min="9" max="9" width="15.25" bestFit="1" customWidth="1"/>
    <col min="10" max="10" width="54.58203125" bestFit="1" customWidth="1"/>
  </cols>
  <sheetData>
    <row r="1" spans="1:10" x14ac:dyDescent="0.45">
      <c r="A1" s="4" t="s">
        <v>21</v>
      </c>
      <c r="B1" s="4" t="s">
        <v>22</v>
      </c>
      <c r="C1" s="4" t="s">
        <v>23</v>
      </c>
      <c r="D1" s="4"/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45">
      <c r="A2" s="2" t="b">
        <v>0</v>
      </c>
      <c r="B2" s="2" t="b">
        <v>1</v>
      </c>
      <c r="C2" s="2" t="b">
        <v>1</v>
      </c>
      <c r="D2" s="3" t="str">
        <f>HYPERLINK(NPRU[[#This Row],[Folder Path]]&amp;NPRU[[#This Row],[Name]], "เปิดไฟล์")</f>
        <v>เปิดไฟล์</v>
      </c>
      <c r="E2" t="s">
        <v>44</v>
      </c>
      <c r="F2" t="s">
        <v>24</v>
      </c>
      <c r="G2" s="1">
        <v>46057.57562984954</v>
      </c>
      <c r="H2" s="1">
        <v>45904.768862430552</v>
      </c>
      <c r="I2" s="1">
        <v>45904.768860138887</v>
      </c>
      <c r="J2" t="s">
        <v>45</v>
      </c>
    </row>
    <row r="3" spans="1:10" x14ac:dyDescent="0.45">
      <c r="A3" s="2" t="b">
        <v>1</v>
      </c>
      <c r="B3" s="2" t="b">
        <v>1</v>
      </c>
      <c r="C3" s="2" t="b">
        <v>1</v>
      </c>
      <c r="D3" s="3" t="str">
        <f>HYPERLINK(NPRU[[#This Row],[Folder Path]]&amp;NPRU[[#This Row],[Name]], "เปิดไฟล์")</f>
        <v>เปิดไฟล์</v>
      </c>
      <c r="E3" t="s">
        <v>76</v>
      </c>
      <c r="F3" t="s">
        <v>24</v>
      </c>
      <c r="G3" s="1">
        <v>46057.575629861109</v>
      </c>
      <c r="H3" s="1">
        <v>45915.575504016204</v>
      </c>
      <c r="I3" s="1">
        <v>45915.575500208332</v>
      </c>
      <c r="J3" t="s">
        <v>77</v>
      </c>
    </row>
    <row r="4" spans="1:10" x14ac:dyDescent="0.45">
      <c r="A4" s="2" t="b">
        <v>0</v>
      </c>
      <c r="B4" s="2" t="b">
        <v>0</v>
      </c>
      <c r="C4" s="2" t="b">
        <v>1</v>
      </c>
      <c r="D4" s="3" t="str">
        <f>HYPERLINK(NPRU[[#This Row],[Folder Path]]&amp;NPRU[[#This Row],[Name]], "เปิดไฟล์")</f>
        <v>เปิดไฟล์</v>
      </c>
      <c r="E4" t="s">
        <v>82</v>
      </c>
      <c r="F4" t="s">
        <v>24</v>
      </c>
      <c r="G4" s="1">
        <v>46057.575629861109</v>
      </c>
      <c r="H4" s="1">
        <v>45916.433999166664</v>
      </c>
      <c r="I4" s="1">
        <v>45916.433806759262</v>
      </c>
      <c r="J4" t="s">
        <v>77</v>
      </c>
    </row>
    <row r="5" spans="1:10" x14ac:dyDescent="0.45">
      <c r="A5" s="2" t="b">
        <v>1</v>
      </c>
      <c r="B5" s="2" t="b">
        <v>1</v>
      </c>
      <c r="C5" s="2" t="b">
        <v>1</v>
      </c>
      <c r="D5" s="3" t="str">
        <f>HYPERLINK(NPRU[[#This Row],[Folder Path]]&amp;NPRU[[#This Row],[Name]], "เปิดไฟล์")</f>
        <v>เปิดไฟล์</v>
      </c>
      <c r="E5" t="s">
        <v>88</v>
      </c>
      <c r="F5" t="s">
        <v>24</v>
      </c>
      <c r="G5" s="1">
        <v>46057.575629942126</v>
      </c>
      <c r="H5" s="1">
        <v>45917.469821192128</v>
      </c>
      <c r="I5" s="1">
        <v>45917.469793715281</v>
      </c>
      <c r="J5" t="s">
        <v>89</v>
      </c>
    </row>
    <row r="6" spans="1:10" x14ac:dyDescent="0.45">
      <c r="A6" s="2" t="b">
        <v>0</v>
      </c>
      <c r="B6" s="2" t="b">
        <v>1</v>
      </c>
      <c r="C6" s="2" t="b">
        <v>1</v>
      </c>
      <c r="D6" s="3" t="str">
        <f>HYPERLINK(NPRU[[#This Row],[Folder Path]]&amp;NPRU[[#This Row],[Name]], "เปิดไฟล์")</f>
        <v>เปิดไฟล์</v>
      </c>
      <c r="E6" t="s">
        <v>99</v>
      </c>
      <c r="F6" t="s">
        <v>24</v>
      </c>
      <c r="G6" s="1">
        <v>46057.575630254629</v>
      </c>
      <c r="H6" s="1">
        <v>45917.426139513889</v>
      </c>
      <c r="I6" s="1">
        <v>45923.439326053238</v>
      </c>
      <c r="J6" t="s">
        <v>89</v>
      </c>
    </row>
    <row r="7" spans="1:10" x14ac:dyDescent="0.45">
      <c r="A7" s="2" t="b">
        <v>0</v>
      </c>
      <c r="B7" s="2" t="b">
        <v>1</v>
      </c>
      <c r="C7" s="2" t="b">
        <v>1</v>
      </c>
      <c r="D7" s="3" t="str">
        <f>HYPERLINK(NPRU[[#This Row],[Folder Path]]&amp;NPRU[[#This Row],[Name]], "เปิดไฟล์")</f>
        <v>เปิดไฟล์</v>
      </c>
      <c r="E7" t="s">
        <v>93</v>
      </c>
      <c r="F7" t="s">
        <v>24</v>
      </c>
      <c r="G7" s="1">
        <v>46057.57563013889</v>
      </c>
      <c r="H7" s="1">
        <v>45922.646360706021</v>
      </c>
      <c r="I7" s="1">
        <v>45922.64635761574</v>
      </c>
      <c r="J7" t="s">
        <v>94</v>
      </c>
    </row>
    <row r="8" spans="1:10" x14ac:dyDescent="0.45">
      <c r="A8" s="2" t="b">
        <v>0</v>
      </c>
      <c r="B8" s="2" t="b">
        <v>1</v>
      </c>
      <c r="C8" s="2" t="b">
        <v>1</v>
      </c>
      <c r="D8" s="3" t="str">
        <f>HYPERLINK(NPRU[[#This Row],[Folder Path]]&amp;NPRU[[#This Row],[Name]], "เปิดไฟล์")</f>
        <v>เปิดไฟล์</v>
      </c>
      <c r="E8" t="s">
        <v>95</v>
      </c>
      <c r="F8" t="s">
        <v>24</v>
      </c>
      <c r="G8" s="1">
        <v>46057.575630208332</v>
      </c>
      <c r="H8" s="1">
        <v>45922.646555601852</v>
      </c>
      <c r="I8" s="1">
        <v>45922.646552511571</v>
      </c>
      <c r="J8" t="s">
        <v>94</v>
      </c>
    </row>
    <row r="9" spans="1:10" x14ac:dyDescent="0.45">
      <c r="A9" s="2" t="b">
        <v>0</v>
      </c>
      <c r="B9" s="2" t="b">
        <v>1</v>
      </c>
      <c r="C9" s="2" t="b">
        <v>1</v>
      </c>
      <c r="D9" s="3" t="str">
        <f>HYPERLINK(NPRU[[#This Row],[Folder Path]]&amp;NPRU[[#This Row],[Name]], "เปิดไฟล์")</f>
        <v>เปิดไฟล์</v>
      </c>
      <c r="E9" t="s">
        <v>96</v>
      </c>
      <c r="F9" t="s">
        <v>24</v>
      </c>
      <c r="G9" s="1">
        <v>46057.575630150466</v>
      </c>
      <c r="H9" s="1">
        <v>45922.646663796295</v>
      </c>
      <c r="I9" s="1">
        <v>45922.646660868057</v>
      </c>
      <c r="J9" t="s">
        <v>94</v>
      </c>
    </row>
    <row r="10" spans="1:10" x14ac:dyDescent="0.45">
      <c r="A10" s="2" t="b">
        <v>0</v>
      </c>
      <c r="B10" s="2" t="b">
        <v>1</v>
      </c>
      <c r="C10" s="2" t="b">
        <v>1</v>
      </c>
      <c r="D10" s="3" t="str">
        <f>HYPERLINK(NPRU[[#This Row],[Folder Path]]&amp;NPRU[[#This Row],[Name]], "เปิดไฟล์")</f>
        <v>เปิดไฟล์</v>
      </c>
      <c r="E10" t="s">
        <v>97</v>
      </c>
      <c r="F10" t="s">
        <v>24</v>
      </c>
      <c r="G10" s="1">
        <v>46057.575630219908</v>
      </c>
      <c r="H10" s="1">
        <v>45922.646854259256</v>
      </c>
      <c r="I10" s="1">
        <v>45922.64685125</v>
      </c>
      <c r="J10" t="s">
        <v>94</v>
      </c>
    </row>
    <row r="11" spans="1:10" x14ac:dyDescent="0.45">
      <c r="A11" s="2" t="b">
        <v>0</v>
      </c>
      <c r="B11" s="2" t="b">
        <v>1</v>
      </c>
      <c r="C11" s="2" t="b">
        <v>1</v>
      </c>
      <c r="D11" s="3" t="str">
        <f>HYPERLINK(NPRU[[#This Row],[Folder Path]]&amp;NPRU[[#This Row],[Name]], "เปิดไฟล์")</f>
        <v>เปิดไฟล์</v>
      </c>
      <c r="E11" t="s">
        <v>98</v>
      </c>
      <c r="F11" t="s">
        <v>24</v>
      </c>
      <c r="G11" s="1">
        <v>46057.575630324071</v>
      </c>
      <c r="H11" s="1">
        <v>45922.646997407406</v>
      </c>
      <c r="I11" s="1">
        <v>45922.646994583331</v>
      </c>
      <c r="J11" t="s">
        <v>94</v>
      </c>
    </row>
    <row r="12" spans="1:10" x14ac:dyDescent="0.45">
      <c r="A12" s="2" t="b">
        <v>1</v>
      </c>
      <c r="B12" s="2" t="b">
        <v>1</v>
      </c>
      <c r="C12" s="2" t="b">
        <v>1</v>
      </c>
      <c r="D12" s="3" t="str">
        <f>HYPERLINK(NPRU[[#This Row],[Folder Path]]&amp;NPRU[[#This Row],[Name]], "เปิดไฟล์")</f>
        <v>เปิดไฟล์</v>
      </c>
      <c r="E12" t="s">
        <v>100</v>
      </c>
      <c r="F12" t="s">
        <v>24</v>
      </c>
      <c r="G12" s="1">
        <v>46057.57563039352</v>
      </c>
      <c r="H12" s="1">
        <v>45923.574870312499</v>
      </c>
      <c r="I12" s="1">
        <v>45923.5748665625</v>
      </c>
      <c r="J12" t="s">
        <v>101</v>
      </c>
    </row>
    <row r="13" spans="1:10" x14ac:dyDescent="0.45">
      <c r="A13" s="2" t="b">
        <v>1</v>
      </c>
      <c r="B13" s="2" t="b">
        <v>1</v>
      </c>
      <c r="C13" s="2" t="b">
        <v>1</v>
      </c>
      <c r="D13" s="3" t="str">
        <f>HYPERLINK(NPRU[[#This Row],[Folder Path]]&amp;NPRU[[#This Row],[Name]], "เปิดไฟล์")</f>
        <v>เปิดไฟล์</v>
      </c>
      <c r="E13" t="s">
        <v>108</v>
      </c>
      <c r="F13" t="s">
        <v>24</v>
      </c>
      <c r="G13" s="1">
        <v>46057.575630405096</v>
      </c>
      <c r="H13" s="1">
        <v>45933.415709791669</v>
      </c>
      <c r="I13" s="1">
        <v>45933.415706967593</v>
      </c>
      <c r="J13" t="s">
        <v>109</v>
      </c>
    </row>
    <row r="14" spans="1:10" x14ac:dyDescent="0.45">
      <c r="A14" s="2" t="b">
        <v>1</v>
      </c>
      <c r="B14" s="2" t="b">
        <v>1</v>
      </c>
      <c r="C14" s="2" t="b">
        <v>1</v>
      </c>
      <c r="D14" s="3" t="str">
        <f>HYPERLINK(NPRU[[#This Row],[Folder Path]]&amp;NPRU[[#This Row],[Name]], "เปิดไฟล์")</f>
        <v>เปิดไฟล์</v>
      </c>
      <c r="E14" t="s">
        <v>110</v>
      </c>
      <c r="F14" t="s">
        <v>24</v>
      </c>
      <c r="G14" s="1">
        <v>46057.575630636573</v>
      </c>
      <c r="H14" s="1">
        <v>45933.416020613426</v>
      </c>
      <c r="I14" s="1">
        <v>45933.416017291667</v>
      </c>
      <c r="J14" t="s">
        <v>109</v>
      </c>
    </row>
    <row r="15" spans="1:10" x14ac:dyDescent="0.45">
      <c r="A15" s="2" t="b">
        <v>1</v>
      </c>
      <c r="B15" s="2" t="b">
        <v>1</v>
      </c>
      <c r="C15" s="2" t="b">
        <v>1</v>
      </c>
      <c r="D15" s="3" t="str">
        <f>HYPERLINK(NPRU[[#This Row],[Folder Path]]&amp;NPRU[[#This Row],[Name]], "เปิดไฟล์")</f>
        <v>เปิดไฟล์</v>
      </c>
      <c r="E15" t="s">
        <v>111</v>
      </c>
      <c r="F15" t="s">
        <v>24</v>
      </c>
      <c r="G15" s="1">
        <v>46057.575630543979</v>
      </c>
      <c r="H15" s="1">
        <v>45933.416889224536</v>
      </c>
      <c r="I15" s="1">
        <v>45933.416887013889</v>
      </c>
      <c r="J15" t="s">
        <v>109</v>
      </c>
    </row>
    <row r="16" spans="1:10" x14ac:dyDescent="0.45">
      <c r="A16" s="2" t="b">
        <v>1</v>
      </c>
      <c r="B16" s="2" t="b">
        <v>1</v>
      </c>
      <c r="C16" s="2" t="b">
        <v>1</v>
      </c>
      <c r="D16" s="3" t="str">
        <f>HYPERLINK(NPRU[[#This Row],[Folder Path]]&amp;NPRU[[#This Row],[Name]], "เปิดไฟล์")</f>
        <v>เปิดไฟล์</v>
      </c>
      <c r="E16" t="s">
        <v>112</v>
      </c>
      <c r="F16" t="s">
        <v>24</v>
      </c>
      <c r="G16" s="1">
        <v>46057.575630590276</v>
      </c>
      <c r="H16" s="1">
        <v>45933.41669972222</v>
      </c>
      <c r="I16" s="1">
        <v>45933.416697291665</v>
      </c>
      <c r="J16" t="s">
        <v>109</v>
      </c>
    </row>
    <row r="17" spans="1:10" x14ac:dyDescent="0.45">
      <c r="A17" s="2" t="b">
        <v>1</v>
      </c>
      <c r="B17" s="2" t="b">
        <v>1</v>
      </c>
      <c r="C17" s="2" t="b">
        <v>1</v>
      </c>
      <c r="D17" s="3" t="str">
        <f>HYPERLINK(NPRU[[#This Row],[Folder Path]]&amp;NPRU[[#This Row],[Name]], "เปิดไฟล์")</f>
        <v>เปิดไฟล์</v>
      </c>
      <c r="E17" t="s">
        <v>113</v>
      </c>
      <c r="F17" t="s">
        <v>24</v>
      </c>
      <c r="G17" s="1">
        <v>46057.575630648149</v>
      </c>
      <c r="H17" s="1">
        <v>45933.417187858795</v>
      </c>
      <c r="I17" s="1">
        <v>45933.417185486112</v>
      </c>
      <c r="J17" t="s">
        <v>109</v>
      </c>
    </row>
    <row r="18" spans="1:10" x14ac:dyDescent="0.45">
      <c r="A18" s="2" t="b">
        <v>1</v>
      </c>
      <c r="B18" s="2" t="b">
        <v>1</v>
      </c>
      <c r="C18" s="2" t="b">
        <v>1</v>
      </c>
      <c r="D18" s="3" t="str">
        <f>HYPERLINK(NPRU[[#This Row],[Folder Path]]&amp;NPRU[[#This Row],[Name]], "เปิดไฟล์")</f>
        <v>เปิดไฟล์</v>
      </c>
      <c r="E18" t="s">
        <v>114</v>
      </c>
      <c r="F18" t="s">
        <v>24</v>
      </c>
      <c r="G18" s="1">
        <v>46057.575630925923</v>
      </c>
      <c r="H18" s="1">
        <v>45933.418158703702</v>
      </c>
      <c r="I18" s="1">
        <v>45933.418156296299</v>
      </c>
      <c r="J18" t="s">
        <v>109</v>
      </c>
    </row>
    <row r="19" spans="1:10" x14ac:dyDescent="0.45">
      <c r="A19" s="2" t="b">
        <v>1</v>
      </c>
      <c r="B19" s="2" t="b">
        <v>1</v>
      </c>
      <c r="C19" s="2" t="b">
        <v>1</v>
      </c>
      <c r="D19" s="3" t="str">
        <f>HYPERLINK(NPRU[[#This Row],[Folder Path]]&amp;NPRU[[#This Row],[Name]], "เปิดไฟล์")</f>
        <v>เปิดไฟล์</v>
      </c>
      <c r="E19" t="s">
        <v>115</v>
      </c>
      <c r="F19" t="s">
        <v>24</v>
      </c>
      <c r="G19" s="1">
        <v>46057.575630763888</v>
      </c>
      <c r="H19" s="1">
        <v>45939.571402905094</v>
      </c>
      <c r="I19" s="1">
        <v>45939.571399131943</v>
      </c>
      <c r="J19" t="s">
        <v>116</v>
      </c>
    </row>
    <row r="20" spans="1:10" x14ac:dyDescent="0.45">
      <c r="A20" s="2" t="b">
        <v>1</v>
      </c>
      <c r="B20" s="2" t="b">
        <v>1</v>
      </c>
      <c r="C20" s="2" t="b">
        <v>1</v>
      </c>
      <c r="D20" s="3" t="str">
        <f>HYPERLINK(NPRU[[#This Row],[Folder Path]]&amp;NPRU[[#This Row],[Name]], "เปิดไฟล์")</f>
        <v>เปิดไฟล์</v>
      </c>
      <c r="E20" t="s">
        <v>180</v>
      </c>
      <c r="F20" t="s">
        <v>24</v>
      </c>
      <c r="G20" s="1">
        <v>46057.575630752312</v>
      </c>
      <c r="H20" s="1">
        <v>45950.761846261572</v>
      </c>
      <c r="I20" s="1">
        <v>45950.761843368055</v>
      </c>
      <c r="J20" t="s">
        <v>181</v>
      </c>
    </row>
    <row r="21" spans="1:10" x14ac:dyDescent="0.45">
      <c r="A21" s="2" t="b">
        <v>1</v>
      </c>
      <c r="B21" s="2" t="b">
        <v>1</v>
      </c>
      <c r="C21" s="2" t="b">
        <v>1</v>
      </c>
      <c r="D21" s="3" t="str">
        <f>HYPERLINK(NPRU[[#This Row],[Folder Path]]&amp;NPRU[[#This Row],[Name]], "เปิดไฟล์")</f>
        <v>เปิดไฟล์</v>
      </c>
      <c r="E21" t="s">
        <v>182</v>
      </c>
      <c r="F21" t="s">
        <v>24</v>
      </c>
      <c r="G21" s="1">
        <v>46057.575630740743</v>
      </c>
      <c r="H21" s="1">
        <v>45950.779969224539</v>
      </c>
      <c r="I21" s="1">
        <v>45950.779965868052</v>
      </c>
      <c r="J21" t="s">
        <v>181</v>
      </c>
    </row>
    <row r="22" spans="1:10" x14ac:dyDescent="0.45">
      <c r="A22" s="2" t="b">
        <v>1</v>
      </c>
      <c r="B22" s="2" t="b">
        <v>1</v>
      </c>
      <c r="C22" s="2" t="b">
        <v>1</v>
      </c>
      <c r="D22" s="3" t="str">
        <f>HYPERLINK(NPRU[[#This Row],[Folder Path]]&amp;NPRU[[#This Row],[Name]], "เปิดไฟล์")</f>
        <v>เปิดไฟล์</v>
      </c>
      <c r="E22" t="s">
        <v>183</v>
      </c>
      <c r="F22" t="s">
        <v>24</v>
      </c>
      <c r="G22" s="1">
        <v>46057.575630763888</v>
      </c>
      <c r="H22" s="1">
        <v>45954.713430069445</v>
      </c>
      <c r="I22" s="1">
        <v>45954.713425868053</v>
      </c>
      <c r="J22" t="s">
        <v>184</v>
      </c>
    </row>
    <row r="23" spans="1:10" x14ac:dyDescent="0.45">
      <c r="A23" s="2" t="b">
        <v>1</v>
      </c>
      <c r="B23" s="2" t="b">
        <v>1</v>
      </c>
      <c r="C23" s="2" t="b">
        <v>1</v>
      </c>
      <c r="D23" s="3" t="str">
        <f>HYPERLINK(NPRU[[#This Row],[Folder Path]]&amp;NPRU[[#This Row],[Name]], "เปิดไฟล์")</f>
        <v>เปิดไฟล์</v>
      </c>
      <c r="E23" t="s">
        <v>185</v>
      </c>
      <c r="F23" t="s">
        <v>24</v>
      </c>
      <c r="G23" s="1">
        <v>46057.57563078704</v>
      </c>
      <c r="H23" s="1">
        <v>45958.598666041667</v>
      </c>
      <c r="I23" s="1">
        <v>45954.713586331018</v>
      </c>
      <c r="J23" t="s">
        <v>184</v>
      </c>
    </row>
    <row r="24" spans="1:10" x14ac:dyDescent="0.45">
      <c r="A24" s="2" t="b">
        <v>1</v>
      </c>
      <c r="B24" s="2" t="b">
        <v>1</v>
      </c>
      <c r="C24" s="2" t="b">
        <v>1</v>
      </c>
      <c r="D24" s="3" t="str">
        <f>HYPERLINK(NPRU[[#This Row],[Folder Path]]&amp;NPRU[[#This Row],[Name]], "เปิดไฟล์")</f>
        <v>เปิดไฟล์</v>
      </c>
      <c r="E24" t="s">
        <v>206</v>
      </c>
      <c r="F24" t="s">
        <v>24</v>
      </c>
      <c r="G24" s="1">
        <v>46057.575630833337</v>
      </c>
      <c r="H24" s="1">
        <v>45958.701250416663</v>
      </c>
      <c r="I24" s="1">
        <v>45958.701246307872</v>
      </c>
      <c r="J24" t="s">
        <v>207</v>
      </c>
    </row>
    <row r="25" spans="1:10" x14ac:dyDescent="0.45">
      <c r="A25" s="2" t="b">
        <v>1</v>
      </c>
      <c r="B25" s="2" t="b">
        <v>1</v>
      </c>
      <c r="C25" s="2" t="b">
        <v>1</v>
      </c>
      <c r="D25" s="3" t="str">
        <f>HYPERLINK(NPRU[[#This Row],[Folder Path]]&amp;NPRU[[#This Row],[Name]], "เปิดไฟล์")</f>
        <v>เปิดไฟล์</v>
      </c>
      <c r="E25" t="s">
        <v>208</v>
      </c>
      <c r="F25" t="s">
        <v>24</v>
      </c>
      <c r="G25" s="1">
        <v>46057.575630879626</v>
      </c>
      <c r="H25" s="1">
        <v>45958.701485277779</v>
      </c>
      <c r="I25" s="1">
        <v>45958.701481886572</v>
      </c>
      <c r="J25" t="s">
        <v>207</v>
      </c>
    </row>
    <row r="26" spans="1:10" x14ac:dyDescent="0.45">
      <c r="A26" s="2" t="b">
        <v>1</v>
      </c>
      <c r="B26" s="2" t="b">
        <v>1</v>
      </c>
      <c r="C26" s="2" t="b">
        <v>1</v>
      </c>
      <c r="D26" s="3" t="str">
        <f>HYPERLINK(NPRU[[#This Row],[Folder Path]]&amp;NPRU[[#This Row],[Name]], "เปิดไฟล์")</f>
        <v>เปิดไฟล์</v>
      </c>
      <c r="E26" t="s">
        <v>209</v>
      </c>
      <c r="F26" t="s">
        <v>24</v>
      </c>
      <c r="G26" s="1">
        <v>46057.575630937499</v>
      </c>
      <c r="H26" s="1">
        <v>45958.701653206015</v>
      </c>
      <c r="I26" s="1">
        <v>45958.701649814815</v>
      </c>
      <c r="J26" t="s">
        <v>207</v>
      </c>
    </row>
    <row r="27" spans="1:10" x14ac:dyDescent="0.45">
      <c r="A27" s="2" t="b">
        <v>0</v>
      </c>
      <c r="B27" s="2" t="b">
        <v>0</v>
      </c>
      <c r="C27" s="2" t="b">
        <v>1</v>
      </c>
      <c r="D27" s="3" t="str">
        <f>HYPERLINK(NPRU[[#This Row],[Folder Path]]&amp;NPRU[[#This Row],[Name]], "เปิดไฟล์")</f>
        <v>เปิดไฟล์</v>
      </c>
      <c r="E27" t="s">
        <v>226</v>
      </c>
      <c r="F27" t="s">
        <v>24</v>
      </c>
      <c r="G27" s="1">
        <v>46105.615998773152</v>
      </c>
      <c r="H27" s="1">
        <v>45968.423606516204</v>
      </c>
      <c r="I27" s="1">
        <v>45968.423603946758</v>
      </c>
      <c r="J27" t="s">
        <v>227</v>
      </c>
    </row>
    <row r="28" spans="1:10" x14ac:dyDescent="0.45">
      <c r="A28" s="2" t="b">
        <v>1</v>
      </c>
      <c r="B28" s="2" t="b">
        <v>1</v>
      </c>
      <c r="C28" s="2" t="b">
        <v>1</v>
      </c>
      <c r="D28" s="3" t="str">
        <f>HYPERLINK(NPRU[[#This Row],[Folder Path]]&amp;NPRU[[#This Row],[Name]], "เปิดไฟล์")</f>
        <v>เปิดไฟล์</v>
      </c>
      <c r="E28" t="s">
        <v>303</v>
      </c>
      <c r="F28" t="s">
        <v>24</v>
      </c>
      <c r="G28" s="1">
        <v>46106.729529166667</v>
      </c>
      <c r="H28" s="1">
        <v>45980.70821971065</v>
      </c>
      <c r="I28" s="1">
        <v>45980.708212314814</v>
      </c>
      <c r="J28" t="s">
        <v>304</v>
      </c>
    </row>
    <row r="29" spans="1:10" x14ac:dyDescent="0.45">
      <c r="A29" s="2" t="b">
        <v>1</v>
      </c>
      <c r="B29" s="2" t="b">
        <v>1</v>
      </c>
      <c r="C29" s="2" t="b">
        <v>1</v>
      </c>
      <c r="D29" s="3" t="str">
        <f>HYPERLINK(NPRU[[#This Row],[Folder Path]]&amp;NPRU[[#This Row],[Name]], "เปิดไฟล์")</f>
        <v>เปิดไฟล์</v>
      </c>
      <c r="E29" t="s">
        <v>559</v>
      </c>
      <c r="F29" t="s">
        <v>24</v>
      </c>
      <c r="G29" s="1">
        <v>46106.729692141205</v>
      </c>
      <c r="H29" s="1">
        <v>46105.598610937501</v>
      </c>
      <c r="I29" s="1">
        <v>46105.59860759259</v>
      </c>
      <c r="J29" t="s">
        <v>560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FAB6-ACC4-45FA-A745-62C7C027A582}">
  <sheetPr>
    <tabColor rgb="FF0070C0"/>
  </sheetPr>
  <dimension ref="A1:J140"/>
  <sheetViews>
    <sheetView workbookViewId="0">
      <pane ySplit="1" topLeftCell="A127" activePane="bottomLeft" state="frozen"/>
      <selection pane="bottomLeft" activeCell="D137" sqref="D137"/>
    </sheetView>
  </sheetViews>
  <sheetFormatPr defaultRowHeight="16.5" x14ac:dyDescent="0.45"/>
  <cols>
    <col min="5" max="5" width="80.33203125" bestFit="1" customWidth="1"/>
    <col min="6" max="6" width="11.33203125" bestFit="1" customWidth="1"/>
    <col min="7" max="7" width="15.33203125" bestFit="1" customWidth="1"/>
    <col min="8" max="8" width="15.4140625" bestFit="1" customWidth="1"/>
    <col min="9" max="9" width="15.25" bestFit="1" customWidth="1"/>
    <col min="10" max="10" width="55.5" bestFit="1" customWidth="1"/>
  </cols>
  <sheetData>
    <row r="1" spans="1:10" x14ac:dyDescent="0.45">
      <c r="A1" s="4" t="s">
        <v>21</v>
      </c>
      <c r="B1" s="4" t="s">
        <v>22</v>
      </c>
      <c r="C1" s="4" t="s">
        <v>23</v>
      </c>
      <c r="D1" s="4"/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45">
      <c r="A2" s="2" t="b">
        <v>1</v>
      </c>
      <c r="B2" s="2" t="b">
        <v>1</v>
      </c>
      <c r="C2" s="2" t="b">
        <v>1</v>
      </c>
      <c r="D2" s="3" t="str">
        <f>HYPERLINK(PGVIM[[#This Row],[Folder Path]]&amp;PGVIM[[#This Row],[Name]], "เปิดไฟล์")</f>
        <v>เปิดไฟล์</v>
      </c>
      <c r="E2" t="s">
        <v>133</v>
      </c>
      <c r="F2" t="s">
        <v>134</v>
      </c>
      <c r="G2" s="1">
        <v>46057.57563107639</v>
      </c>
      <c r="H2" s="1">
        <v>45944.917237002315</v>
      </c>
      <c r="I2" s="1">
        <v>45944.917236273148</v>
      </c>
      <c r="J2" t="s">
        <v>135</v>
      </c>
    </row>
    <row r="3" spans="1:10" x14ac:dyDescent="0.45">
      <c r="A3" s="2" t="b">
        <v>1</v>
      </c>
      <c r="B3" s="2" t="b">
        <v>1</v>
      </c>
      <c r="C3" s="2" t="b">
        <v>1</v>
      </c>
      <c r="D3" s="3" t="str">
        <f>HYPERLINK(PGVIM[[#This Row],[Folder Path]]&amp;PGVIM[[#This Row],[Name]], "เปิดไฟล์")</f>
        <v>เปิดไฟล์</v>
      </c>
      <c r="E3" t="s">
        <v>70</v>
      </c>
      <c r="F3" t="s">
        <v>24</v>
      </c>
      <c r="G3" s="1">
        <v>46057.575631122687</v>
      </c>
      <c r="H3" s="1">
        <v>45912.757711006947</v>
      </c>
      <c r="I3" s="1">
        <v>45912.757707280092</v>
      </c>
      <c r="J3" t="s">
        <v>71</v>
      </c>
    </row>
    <row r="4" spans="1:10" x14ac:dyDescent="0.45">
      <c r="A4" s="2" t="b">
        <v>1</v>
      </c>
      <c r="B4" s="2" t="b">
        <v>1</v>
      </c>
      <c r="C4" s="2" t="b">
        <v>1</v>
      </c>
      <c r="D4" s="3" t="str">
        <f>HYPERLINK(PGVIM[[#This Row],[Folder Path]]&amp;PGVIM[[#This Row],[Name]], "เปิดไฟล์")</f>
        <v>เปิดไฟล์</v>
      </c>
      <c r="E4" t="s">
        <v>72</v>
      </c>
      <c r="F4" t="s">
        <v>24</v>
      </c>
      <c r="G4" s="1">
        <v>46057.575631203705</v>
      </c>
      <c r="H4" s="1">
        <v>45915.452838784724</v>
      </c>
      <c r="I4" s="1">
        <v>45915.452835555552</v>
      </c>
      <c r="J4" t="s">
        <v>73</v>
      </c>
    </row>
    <row r="5" spans="1:10" x14ac:dyDescent="0.45">
      <c r="A5" s="2" t="b">
        <v>1</v>
      </c>
      <c r="B5" s="2" t="b">
        <v>1</v>
      </c>
      <c r="C5" s="2" t="b">
        <v>1</v>
      </c>
      <c r="D5" s="3" t="str">
        <f>HYPERLINK(PGVIM[[#This Row],[Folder Path]]&amp;PGVIM[[#This Row],[Name]], "เปิดไฟล์")</f>
        <v>เปิดไฟล์</v>
      </c>
      <c r="E5" t="s">
        <v>74</v>
      </c>
      <c r="F5" t="s">
        <v>24</v>
      </c>
      <c r="G5" s="1">
        <v>46057.575631215281</v>
      </c>
      <c r="H5" s="1">
        <v>45915.45299351852</v>
      </c>
      <c r="I5" s="1">
        <v>45915.452990092592</v>
      </c>
      <c r="J5" t="s">
        <v>73</v>
      </c>
    </row>
    <row r="6" spans="1:10" x14ac:dyDescent="0.45">
      <c r="A6" s="5" t="b">
        <v>1</v>
      </c>
      <c r="B6" s="2" t="b">
        <v>1</v>
      </c>
      <c r="C6" s="2" t="b">
        <v>1</v>
      </c>
      <c r="D6" s="3" t="str">
        <f>HYPERLINK(PGVIM[[#This Row],[Folder Path]]&amp;PGVIM[[#This Row],[Name]], "เปิดไฟล์")</f>
        <v>เปิดไฟล์</v>
      </c>
      <c r="E6" t="s">
        <v>78</v>
      </c>
      <c r="F6" t="s">
        <v>24</v>
      </c>
      <c r="G6" s="1">
        <v>46057.575631273146</v>
      </c>
      <c r="H6" s="1">
        <v>45915.575789212962</v>
      </c>
      <c r="I6" s="1">
        <v>45915.575785914349</v>
      </c>
      <c r="J6" t="s">
        <v>73</v>
      </c>
    </row>
    <row r="7" spans="1:10" x14ac:dyDescent="0.45">
      <c r="A7" s="5" t="b">
        <v>1</v>
      </c>
      <c r="B7" s="2" t="b">
        <v>1</v>
      </c>
      <c r="C7" s="2" t="b">
        <v>1</v>
      </c>
      <c r="D7" s="3" t="str">
        <f>HYPERLINK(PGVIM[[#This Row],[Folder Path]]&amp;PGVIM[[#This Row],[Name]], "เปิดไฟล์")</f>
        <v>เปิดไฟล์</v>
      </c>
      <c r="E7" t="s">
        <v>83</v>
      </c>
      <c r="F7" t="s">
        <v>24</v>
      </c>
      <c r="G7" s="1">
        <v>46057.575631319443</v>
      </c>
      <c r="H7" s="1">
        <v>45916.64140148148</v>
      </c>
      <c r="I7" s="1">
        <v>45916.43186902778</v>
      </c>
      <c r="J7" t="s">
        <v>84</v>
      </c>
    </row>
    <row r="8" spans="1:10" x14ac:dyDescent="0.45">
      <c r="A8" s="2" t="b">
        <v>1</v>
      </c>
      <c r="B8" s="2" t="b">
        <v>1</v>
      </c>
      <c r="C8" s="2" t="b">
        <v>1</v>
      </c>
      <c r="D8" s="3" t="str">
        <f>HYPERLINK(PGVIM[[#This Row],[Folder Path]]&amp;PGVIM[[#This Row],[Name]], "เปิดไฟล์")</f>
        <v>เปิดไฟล์</v>
      </c>
      <c r="E8" t="s">
        <v>85</v>
      </c>
      <c r="F8" t="s">
        <v>24</v>
      </c>
      <c r="G8" s="1">
        <v>46057.575631608794</v>
      </c>
      <c r="H8" s="1">
        <v>45916.647171481483</v>
      </c>
      <c r="I8" s="1">
        <v>45916.432085162036</v>
      </c>
      <c r="J8" t="s">
        <v>84</v>
      </c>
    </row>
    <row r="9" spans="1:10" x14ac:dyDescent="0.45">
      <c r="A9" s="2" t="b">
        <v>1</v>
      </c>
      <c r="B9" s="2" t="b">
        <v>1</v>
      </c>
      <c r="C9" s="2" t="b">
        <v>1</v>
      </c>
      <c r="D9" s="3" t="str">
        <f>HYPERLINK(PGVIM[[#This Row],[Folder Path]]&amp;PGVIM[[#This Row],[Name]], "เปิดไฟล์")</f>
        <v>เปิดไฟล์</v>
      </c>
      <c r="E9" t="s">
        <v>86</v>
      </c>
      <c r="F9" t="s">
        <v>24</v>
      </c>
      <c r="G9" s="1">
        <v>46057.575631608794</v>
      </c>
      <c r="H9" s="1">
        <v>45917.426139513889</v>
      </c>
      <c r="I9" s="1">
        <v>45917.426137013892</v>
      </c>
      <c r="J9" t="s">
        <v>87</v>
      </c>
    </row>
    <row r="10" spans="1:10" x14ac:dyDescent="0.45">
      <c r="A10" s="2" t="b">
        <v>1</v>
      </c>
      <c r="B10" s="2" t="b">
        <v>1</v>
      </c>
      <c r="C10" s="2" t="b">
        <v>1</v>
      </c>
      <c r="D10" s="3" t="str">
        <f>HYPERLINK(PGVIM[[#This Row],[Folder Path]]&amp;PGVIM[[#This Row],[Name]], "เปิดไฟล์")</f>
        <v>เปิดไฟล์</v>
      </c>
      <c r="E10" t="s">
        <v>90</v>
      </c>
      <c r="F10" t="s">
        <v>24</v>
      </c>
      <c r="G10" s="1">
        <v>46057.575631423613</v>
      </c>
      <c r="H10" s="1">
        <v>45917.469821192128</v>
      </c>
      <c r="I10" s="1">
        <v>45917.470261296294</v>
      </c>
      <c r="J10" t="s">
        <v>87</v>
      </c>
    </row>
    <row r="11" spans="1:10" x14ac:dyDescent="0.45">
      <c r="A11" s="2" t="b">
        <v>1</v>
      </c>
      <c r="B11" s="2" t="b">
        <v>1</v>
      </c>
      <c r="C11" s="2" t="b">
        <v>1</v>
      </c>
      <c r="D11" s="3" t="str">
        <f>HYPERLINK(PGVIM[[#This Row],[Folder Path]]&amp;PGVIM[[#This Row],[Name]], "เปิดไฟล์")</f>
        <v>เปิดไฟล์</v>
      </c>
      <c r="E11" t="s">
        <v>100</v>
      </c>
      <c r="F11" t="s">
        <v>24</v>
      </c>
      <c r="G11" s="1">
        <v>46057.575631435182</v>
      </c>
      <c r="H11" s="1">
        <v>45923.574870312499</v>
      </c>
      <c r="I11" s="1">
        <v>45923.575059733797</v>
      </c>
      <c r="J11" t="s">
        <v>102</v>
      </c>
    </row>
    <row r="12" spans="1:10" x14ac:dyDescent="0.45">
      <c r="A12" s="2" t="b">
        <v>1</v>
      </c>
      <c r="B12" s="2" t="b">
        <v>1</v>
      </c>
      <c r="C12" s="2" t="b">
        <v>1</v>
      </c>
      <c r="D12" s="3" t="str">
        <f>HYPERLINK(PGVIM[[#This Row],[Folder Path]]&amp;PGVIM[[#This Row],[Name]], "เปิดไฟล์")</f>
        <v>เปิดไฟล์</v>
      </c>
      <c r="E12" t="s">
        <v>115</v>
      </c>
      <c r="F12" t="s">
        <v>24</v>
      </c>
      <c r="G12" s="1">
        <v>46057.575631597225</v>
      </c>
      <c r="H12" s="1">
        <v>45939.524268564812</v>
      </c>
      <c r="I12" s="1">
        <v>45939.524264965279</v>
      </c>
      <c r="J12" t="s">
        <v>117</v>
      </c>
    </row>
    <row r="13" spans="1:10" x14ac:dyDescent="0.45">
      <c r="A13" s="2" t="b">
        <v>1</v>
      </c>
      <c r="B13" s="2" t="b">
        <v>1</v>
      </c>
      <c r="C13" s="2" t="b">
        <v>1</v>
      </c>
      <c r="D13" s="3" t="str">
        <f>HYPERLINK(PGVIM[[#This Row],[Folder Path]]&amp;PGVIM[[#This Row],[Name]], "เปิดไฟล์")</f>
        <v>เปิดไฟล์</v>
      </c>
      <c r="E13" t="s">
        <v>119</v>
      </c>
      <c r="F13" t="s">
        <v>24</v>
      </c>
      <c r="G13" s="1">
        <v>46057.575631805557</v>
      </c>
      <c r="H13" s="1">
        <v>45940.502261805559</v>
      </c>
      <c r="I13" s="1">
        <v>45940.449607627314</v>
      </c>
      <c r="J13" t="s">
        <v>120</v>
      </c>
    </row>
    <row r="14" spans="1:10" x14ac:dyDescent="0.45">
      <c r="A14" s="2" t="b">
        <v>1</v>
      </c>
      <c r="B14" s="2" t="b">
        <v>1</v>
      </c>
      <c r="C14" s="2" t="b">
        <v>1</v>
      </c>
      <c r="D14" s="3" t="str">
        <f>HYPERLINK(PGVIM[[#This Row],[Folder Path]]&amp;PGVIM[[#This Row],[Name]], "เปิดไฟล์")</f>
        <v>เปิดไฟล์</v>
      </c>
      <c r="E14" t="s">
        <v>121</v>
      </c>
      <c r="F14" t="s">
        <v>24</v>
      </c>
      <c r="G14" s="1">
        <v>46057.575631550928</v>
      </c>
      <c r="H14" s="1">
        <v>45941.52011351852</v>
      </c>
      <c r="I14" s="1">
        <v>45941.52011099537</v>
      </c>
      <c r="J14" t="s">
        <v>120</v>
      </c>
    </row>
    <row r="15" spans="1:10" x14ac:dyDescent="0.45">
      <c r="A15" s="2" t="b">
        <v>1</v>
      </c>
      <c r="B15" s="2" t="b">
        <v>1</v>
      </c>
      <c r="C15" s="2" t="b">
        <v>1</v>
      </c>
      <c r="D15" s="3" t="str">
        <f>HYPERLINK(PGVIM[[#This Row],[Folder Path]]&amp;PGVIM[[#This Row],[Name]], "เปิดไฟล์")</f>
        <v>เปิดไฟล์</v>
      </c>
      <c r="E15" t="s">
        <v>122</v>
      </c>
      <c r="F15" t="s">
        <v>24</v>
      </c>
      <c r="G15" s="1">
        <v>46057.575631608794</v>
      </c>
      <c r="H15" s="1">
        <v>45941.52038209491</v>
      </c>
      <c r="I15" s="1">
        <v>45941.520379861111</v>
      </c>
      <c r="J15" t="s">
        <v>120</v>
      </c>
    </row>
    <row r="16" spans="1:10" x14ac:dyDescent="0.45">
      <c r="A16" s="2" t="b">
        <v>1</v>
      </c>
      <c r="B16" s="2" t="b">
        <v>1</v>
      </c>
      <c r="C16" s="2" t="b">
        <v>1</v>
      </c>
      <c r="D16" s="3" t="str">
        <f>HYPERLINK(PGVIM[[#This Row],[Folder Path]]&amp;PGVIM[[#This Row],[Name]], "เปิดไฟล์")</f>
        <v>เปิดไฟล์</v>
      </c>
      <c r="E16" t="s">
        <v>123</v>
      </c>
      <c r="F16" t="s">
        <v>24</v>
      </c>
      <c r="G16" s="1">
        <v>46057.575631608794</v>
      </c>
      <c r="H16" s="1">
        <v>45944.917732187503</v>
      </c>
      <c r="I16" s="1">
        <v>45941.520643495372</v>
      </c>
      <c r="J16" t="s">
        <v>120</v>
      </c>
    </row>
    <row r="17" spans="1:10" x14ac:dyDescent="0.45">
      <c r="A17" s="2" t="b">
        <v>1</v>
      </c>
      <c r="B17" s="2" t="b">
        <v>1</v>
      </c>
      <c r="C17" s="2" t="b">
        <v>1</v>
      </c>
      <c r="D17" s="3" t="str">
        <f>HYPERLINK(PGVIM[[#This Row],[Folder Path]]&amp;PGVIM[[#This Row],[Name]], "เปิดไฟล์")</f>
        <v>เปิดไฟล์</v>
      </c>
      <c r="E17" t="s">
        <v>124</v>
      </c>
      <c r="F17" t="s">
        <v>24</v>
      </c>
      <c r="G17" s="1">
        <v>46057.575631932872</v>
      </c>
      <c r="H17" s="1">
        <v>45941.520898379633</v>
      </c>
      <c r="I17" s="1">
        <v>45941.520896435184</v>
      </c>
      <c r="J17" t="s">
        <v>120</v>
      </c>
    </row>
    <row r="18" spans="1:10" x14ac:dyDescent="0.45">
      <c r="A18" s="2" t="b">
        <v>1</v>
      </c>
      <c r="B18" s="2" t="b">
        <v>1</v>
      </c>
      <c r="C18" s="2" t="b">
        <v>1</v>
      </c>
      <c r="D18" s="3" t="str">
        <f>HYPERLINK(PGVIM[[#This Row],[Folder Path]]&amp;PGVIM[[#This Row],[Name]], "เปิดไฟล์")</f>
        <v>เปิดไฟล์</v>
      </c>
      <c r="E18" t="s">
        <v>125</v>
      </c>
      <c r="F18" t="s">
        <v>24</v>
      </c>
      <c r="G18" s="1">
        <v>46057.57563172454</v>
      </c>
      <c r="H18" s="1">
        <v>45941.521129884262</v>
      </c>
      <c r="I18" s="1">
        <v>45941.521127777778</v>
      </c>
      <c r="J18" t="s">
        <v>120</v>
      </c>
    </row>
    <row r="19" spans="1:10" x14ac:dyDescent="0.45">
      <c r="A19" s="2" t="b">
        <v>1</v>
      </c>
      <c r="B19" s="2" t="b">
        <v>1</v>
      </c>
      <c r="C19" s="2" t="b">
        <v>1</v>
      </c>
      <c r="D19" s="3" t="str">
        <f>HYPERLINK(PGVIM[[#This Row],[Folder Path]]&amp;PGVIM[[#This Row],[Name]], "เปิดไฟล์")</f>
        <v>เปิดไฟล์</v>
      </c>
      <c r="E19" t="s">
        <v>126</v>
      </c>
      <c r="F19" t="s">
        <v>24</v>
      </c>
      <c r="G19" s="1">
        <v>46057.575631782405</v>
      </c>
      <c r="H19" s="1">
        <v>45941.521344884262</v>
      </c>
      <c r="I19" s="1">
        <v>45941.521342789354</v>
      </c>
      <c r="J19" t="s">
        <v>120</v>
      </c>
    </row>
    <row r="20" spans="1:10" x14ac:dyDescent="0.45">
      <c r="A20" s="2" t="b">
        <v>1</v>
      </c>
      <c r="B20" s="2" t="b">
        <v>1</v>
      </c>
      <c r="C20" s="2" t="b">
        <v>1</v>
      </c>
      <c r="D20" s="3" t="str">
        <f>HYPERLINK(PGVIM[[#This Row],[Folder Path]]&amp;PGVIM[[#This Row],[Name]], "เปิดไฟล์")</f>
        <v>เปิดไฟล์</v>
      </c>
      <c r="E20" t="s">
        <v>127</v>
      </c>
      <c r="F20" t="s">
        <v>24</v>
      </c>
      <c r="G20" s="1">
        <v>46057.575631817126</v>
      </c>
      <c r="H20" s="1">
        <v>45944.862598229163</v>
      </c>
      <c r="I20" s="1">
        <v>45944.724845231482</v>
      </c>
      <c r="J20" t="s">
        <v>128</v>
      </c>
    </row>
    <row r="21" spans="1:10" x14ac:dyDescent="0.45">
      <c r="A21" s="2" t="b">
        <v>1</v>
      </c>
      <c r="B21" s="2" t="b">
        <v>1</v>
      </c>
      <c r="C21" s="2" t="b">
        <v>1</v>
      </c>
      <c r="D21" s="3" t="str">
        <f>HYPERLINK(PGVIM[[#This Row],[Folder Path]]&amp;PGVIM[[#This Row],[Name]], "เปิดไฟล์")</f>
        <v>เปิดไฟล์</v>
      </c>
      <c r="E21" t="s">
        <v>129</v>
      </c>
      <c r="F21" t="s">
        <v>24</v>
      </c>
      <c r="G21" s="1">
        <v>46057.575631886575</v>
      </c>
      <c r="H21" s="1">
        <v>45944.921905312498</v>
      </c>
      <c r="I21" s="1">
        <v>45944.725232974539</v>
      </c>
      <c r="J21" t="s">
        <v>128</v>
      </c>
    </row>
    <row r="22" spans="1:10" x14ac:dyDescent="0.45">
      <c r="A22" s="2" t="b">
        <v>1</v>
      </c>
      <c r="B22" s="2" t="b">
        <v>1</v>
      </c>
      <c r="C22" s="2" t="b">
        <v>1</v>
      </c>
      <c r="D22" s="3" t="str">
        <f>HYPERLINK(PGVIM[[#This Row],[Folder Path]]&amp;PGVIM[[#This Row],[Name]], "เปิดไฟล์")</f>
        <v>เปิดไฟล์</v>
      </c>
      <c r="E22" t="s">
        <v>130</v>
      </c>
      <c r="F22" t="s">
        <v>24</v>
      </c>
      <c r="G22" s="1">
        <v>46057.575631886575</v>
      </c>
      <c r="H22" s="1">
        <v>45944.862841956019</v>
      </c>
      <c r="I22" s="1">
        <v>45944.725874849537</v>
      </c>
      <c r="J22" t="s">
        <v>128</v>
      </c>
    </row>
    <row r="23" spans="1:10" x14ac:dyDescent="0.45">
      <c r="A23" s="2" t="b">
        <v>1</v>
      </c>
      <c r="B23" s="2" t="b">
        <v>1</v>
      </c>
      <c r="C23" s="2" t="b">
        <v>1</v>
      </c>
      <c r="D23" s="3" t="str">
        <f>HYPERLINK(PGVIM[[#This Row],[Folder Path]]&amp;PGVIM[[#This Row],[Name]], "เปิดไฟล์")</f>
        <v>เปิดไฟล์</v>
      </c>
      <c r="E23" t="s">
        <v>131</v>
      </c>
      <c r="F23" t="s">
        <v>24</v>
      </c>
      <c r="G23" s="1">
        <v>46057.575631921296</v>
      </c>
      <c r="H23" s="1">
        <v>45944.916460324072</v>
      </c>
      <c r="I23" s="1">
        <v>45944.726409502313</v>
      </c>
      <c r="J23" t="s">
        <v>128</v>
      </c>
    </row>
    <row r="24" spans="1:10" x14ac:dyDescent="0.45">
      <c r="A24" s="2" t="b">
        <v>1</v>
      </c>
      <c r="B24" s="2" t="b">
        <v>1</v>
      </c>
      <c r="C24" s="2" t="b">
        <v>1</v>
      </c>
      <c r="D24" s="3" t="str">
        <f>HYPERLINK(PGVIM[[#This Row],[Folder Path]]&amp;PGVIM[[#This Row],[Name]], "เปิดไฟล์")</f>
        <v>เปิดไฟล์</v>
      </c>
      <c r="E24" t="s">
        <v>132</v>
      </c>
      <c r="F24" t="s">
        <v>24</v>
      </c>
      <c r="G24" s="1">
        <v>46057.575631967593</v>
      </c>
      <c r="H24" s="1">
        <v>45944.863024444443</v>
      </c>
      <c r="I24" s="1">
        <v>45944.726300428243</v>
      </c>
      <c r="J24" t="s">
        <v>128</v>
      </c>
    </row>
    <row r="25" spans="1:10" x14ac:dyDescent="0.45">
      <c r="A25" s="2" t="b">
        <v>1</v>
      </c>
      <c r="B25" s="2" t="b">
        <v>1</v>
      </c>
      <c r="C25" s="2" t="b">
        <v>1</v>
      </c>
      <c r="D25" s="3" t="str">
        <f>HYPERLINK(PGVIM[[#This Row],[Folder Path]]&amp;PGVIM[[#This Row],[Name]], "เปิดไฟล์")</f>
        <v>เปิดไฟล์</v>
      </c>
      <c r="E25" t="s">
        <v>136</v>
      </c>
      <c r="F25" t="s">
        <v>24</v>
      </c>
      <c r="G25" s="1">
        <v>46057.575631990738</v>
      </c>
      <c r="H25" s="1">
        <v>45945.770418437503</v>
      </c>
      <c r="I25" s="1">
        <v>45945.770415324077</v>
      </c>
      <c r="J25" t="s">
        <v>137</v>
      </c>
    </row>
    <row r="26" spans="1:10" x14ac:dyDescent="0.45">
      <c r="A26" s="2" t="b">
        <v>1</v>
      </c>
      <c r="B26" s="2" t="b">
        <v>1</v>
      </c>
      <c r="C26" s="2" t="b">
        <v>1</v>
      </c>
      <c r="D26" s="3" t="str">
        <f>HYPERLINK(PGVIM[[#This Row],[Folder Path]]&amp;PGVIM[[#This Row],[Name]], "เปิดไฟล์")</f>
        <v>เปิดไฟล์</v>
      </c>
      <c r="E26" t="s">
        <v>138</v>
      </c>
      <c r="F26" t="s">
        <v>24</v>
      </c>
      <c r="G26" s="1">
        <v>46057.575632094908</v>
      </c>
      <c r="H26" s="1">
        <v>45945.770599884258</v>
      </c>
      <c r="I26" s="1">
        <v>45945.770596319446</v>
      </c>
      <c r="J26" t="s">
        <v>137</v>
      </c>
    </row>
    <row r="27" spans="1:10" x14ac:dyDescent="0.45">
      <c r="A27" s="2" t="b">
        <v>1</v>
      </c>
      <c r="B27" s="2" t="b">
        <v>1</v>
      </c>
      <c r="C27" s="2" t="b">
        <v>1</v>
      </c>
      <c r="D27" s="3" t="str">
        <f>HYPERLINK(PGVIM[[#This Row],[Folder Path]]&amp;PGVIM[[#This Row],[Name]], "เปิดไฟล์")</f>
        <v>เปิดไฟล์</v>
      </c>
      <c r="E27" t="s">
        <v>139</v>
      </c>
      <c r="F27" t="s">
        <v>24</v>
      </c>
      <c r="G27" s="1">
        <v>46057.575632094908</v>
      </c>
      <c r="H27" s="1">
        <v>45946.694953425926</v>
      </c>
      <c r="I27" s="1">
        <v>45945.770742037035</v>
      </c>
      <c r="J27" t="s">
        <v>137</v>
      </c>
    </row>
    <row r="28" spans="1:10" x14ac:dyDescent="0.45">
      <c r="A28" s="2" t="b">
        <v>1</v>
      </c>
      <c r="B28" s="2" t="b">
        <v>1</v>
      </c>
      <c r="C28" s="2" t="b">
        <v>1</v>
      </c>
      <c r="D28" s="3" t="str">
        <f>HYPERLINK(PGVIM[[#This Row],[Folder Path]]&amp;PGVIM[[#This Row],[Name]], "เปิดไฟล์")</f>
        <v>เปิดไฟล์</v>
      </c>
      <c r="E28" t="s">
        <v>140</v>
      </c>
      <c r="F28" t="s">
        <v>24</v>
      </c>
      <c r="G28" s="1">
        <v>46057.575632164349</v>
      </c>
      <c r="H28" s="1">
        <v>45945.770932800922</v>
      </c>
      <c r="I28" s="1">
        <v>45945.770929456019</v>
      </c>
      <c r="J28" t="s">
        <v>137</v>
      </c>
    </row>
    <row r="29" spans="1:10" x14ac:dyDescent="0.45">
      <c r="A29" s="2" t="b">
        <v>1</v>
      </c>
      <c r="B29" s="2" t="b">
        <v>1</v>
      </c>
      <c r="C29" s="2" t="b">
        <v>1</v>
      </c>
      <c r="D29" s="3" t="str">
        <f>HYPERLINK(PGVIM[[#This Row],[Folder Path]]&amp;PGVIM[[#This Row],[Name]], "เปิดไฟล์")</f>
        <v>เปิดไฟล์</v>
      </c>
      <c r="E29" t="s">
        <v>141</v>
      </c>
      <c r="F29" t="s">
        <v>24</v>
      </c>
      <c r="G29" s="1">
        <v>46057.575632349537</v>
      </c>
      <c r="H29" s="1">
        <v>45945.77109858796</v>
      </c>
      <c r="I29" s="1">
        <v>45945.77109509259</v>
      </c>
      <c r="J29" t="s">
        <v>137</v>
      </c>
    </row>
    <row r="30" spans="1:10" x14ac:dyDescent="0.45">
      <c r="A30" s="2" t="b">
        <v>1</v>
      </c>
      <c r="B30" s="2" t="b">
        <v>1</v>
      </c>
      <c r="C30" s="2" t="b">
        <v>1</v>
      </c>
      <c r="D30" s="3" t="str">
        <f>HYPERLINK(PGVIM[[#This Row],[Folder Path]]&amp;PGVIM[[#This Row],[Name]], "เปิดไฟล์")</f>
        <v>เปิดไฟล์</v>
      </c>
      <c r="E30" t="s">
        <v>142</v>
      </c>
      <c r="F30" t="s">
        <v>24</v>
      </c>
      <c r="G30" s="1">
        <v>46057.57563255787</v>
      </c>
      <c r="H30" s="1">
        <v>45947.625829884259</v>
      </c>
      <c r="I30" s="1">
        <v>45945.771229699072</v>
      </c>
      <c r="J30" t="s">
        <v>137</v>
      </c>
    </row>
    <row r="31" spans="1:10" x14ac:dyDescent="0.45">
      <c r="A31" s="2" t="b">
        <v>1</v>
      </c>
      <c r="B31" s="2" t="b">
        <v>1</v>
      </c>
      <c r="C31" s="2" t="b">
        <v>1</v>
      </c>
      <c r="D31" s="3" t="str">
        <f>HYPERLINK(PGVIM[[#This Row],[Folder Path]]&amp;PGVIM[[#This Row],[Name]], "เปิดไฟล์")</f>
        <v>เปิดไฟล์</v>
      </c>
      <c r="E31" t="s">
        <v>143</v>
      </c>
      <c r="F31" t="s">
        <v>24</v>
      </c>
      <c r="G31" s="1">
        <v>46057.575632199078</v>
      </c>
      <c r="H31" s="1">
        <v>45945.771434074071</v>
      </c>
      <c r="I31" s="1">
        <v>45945.771430578701</v>
      </c>
      <c r="J31" t="s">
        <v>137</v>
      </c>
    </row>
    <row r="32" spans="1:10" x14ac:dyDescent="0.45">
      <c r="A32" s="2" t="b">
        <v>1</v>
      </c>
      <c r="B32" s="2" t="b">
        <v>1</v>
      </c>
      <c r="C32" s="2" t="b">
        <v>1</v>
      </c>
      <c r="D32" s="3" t="str">
        <f>HYPERLINK(PGVIM[[#This Row],[Folder Path]]&amp;PGVIM[[#This Row],[Name]], "เปิดไฟล์")</f>
        <v>เปิดไฟล์</v>
      </c>
      <c r="E32" t="s">
        <v>144</v>
      </c>
      <c r="F32" t="s">
        <v>24</v>
      </c>
      <c r="G32" s="1">
        <v>46057.575632476852</v>
      </c>
      <c r="H32" s="1">
        <v>45945.771600972221</v>
      </c>
      <c r="I32" s="1">
        <v>45945.771597060186</v>
      </c>
      <c r="J32" t="s">
        <v>137</v>
      </c>
    </row>
    <row r="33" spans="1:10" x14ac:dyDescent="0.45">
      <c r="A33" s="2" t="b">
        <v>1</v>
      </c>
      <c r="B33" s="2" t="b">
        <v>1</v>
      </c>
      <c r="C33" s="2" t="b">
        <v>1</v>
      </c>
      <c r="D33" s="3" t="str">
        <f>HYPERLINK(PGVIM[[#This Row],[Folder Path]]&amp;PGVIM[[#This Row],[Name]], "เปิดไฟล์")</f>
        <v>เปิดไฟล์</v>
      </c>
      <c r="E33" t="s">
        <v>145</v>
      </c>
      <c r="F33" t="s">
        <v>24</v>
      </c>
      <c r="G33" s="1">
        <v>46057.575632476852</v>
      </c>
      <c r="H33" s="1">
        <v>45945.771725914354</v>
      </c>
      <c r="I33" s="1">
        <v>45945.77172271991</v>
      </c>
      <c r="J33" t="s">
        <v>137</v>
      </c>
    </row>
    <row r="34" spans="1:10" x14ac:dyDescent="0.45">
      <c r="A34" s="2" t="b">
        <v>1</v>
      </c>
      <c r="B34" s="2" t="b">
        <v>1</v>
      </c>
      <c r="C34" s="2" t="b">
        <v>1</v>
      </c>
      <c r="D34" s="3" t="str">
        <f>HYPERLINK(PGVIM[[#This Row],[Folder Path]]&amp;PGVIM[[#This Row],[Name]], "เปิดไฟล์")</f>
        <v>เปิดไฟล์</v>
      </c>
      <c r="E34" t="s">
        <v>146</v>
      </c>
      <c r="F34" t="s">
        <v>24</v>
      </c>
      <c r="G34" s="1">
        <v>46057.575632488428</v>
      </c>
      <c r="H34" s="1">
        <v>45945.771863680558</v>
      </c>
      <c r="I34" s="1">
        <v>45945.77186054398</v>
      </c>
      <c r="J34" t="s">
        <v>137</v>
      </c>
    </row>
    <row r="35" spans="1:10" x14ac:dyDescent="0.45">
      <c r="A35" s="2" t="b">
        <v>1</v>
      </c>
      <c r="B35" s="2" t="b">
        <v>1</v>
      </c>
      <c r="C35" s="2" t="b">
        <v>1</v>
      </c>
      <c r="D35" s="3" t="str">
        <f>HYPERLINK(PGVIM[[#This Row],[Folder Path]]&amp;PGVIM[[#This Row],[Name]], "เปิดไฟล์")</f>
        <v>เปิดไฟล์</v>
      </c>
      <c r="E35" t="s">
        <v>147</v>
      </c>
      <c r="F35" t="s">
        <v>24</v>
      </c>
      <c r="G35" s="1">
        <v>46057.575632534725</v>
      </c>
      <c r="H35" s="1">
        <v>45945.771973125004</v>
      </c>
      <c r="I35" s="1">
        <v>45945.771969988426</v>
      </c>
      <c r="J35" t="s">
        <v>137</v>
      </c>
    </row>
    <row r="36" spans="1:10" x14ac:dyDescent="0.45">
      <c r="A36" s="2" t="b">
        <v>1</v>
      </c>
      <c r="B36" s="2" t="b">
        <v>1</v>
      </c>
      <c r="C36" s="2" t="b">
        <v>1</v>
      </c>
      <c r="D36" s="3" t="str">
        <f>HYPERLINK(PGVIM[[#This Row],[Folder Path]]&amp;PGVIM[[#This Row],[Name]], "เปิดไฟล์")</f>
        <v>เปิดไฟล์</v>
      </c>
      <c r="E36" t="s">
        <v>148</v>
      </c>
      <c r="F36" t="s">
        <v>24</v>
      </c>
      <c r="G36" s="1">
        <v>46057.575632627311</v>
      </c>
      <c r="H36" s="1">
        <v>45945.77222702546</v>
      </c>
      <c r="I36" s="1">
        <v>45945.772223935186</v>
      </c>
      <c r="J36" t="s">
        <v>137</v>
      </c>
    </row>
    <row r="37" spans="1:10" x14ac:dyDescent="0.45">
      <c r="A37" s="2" t="b">
        <v>1</v>
      </c>
      <c r="B37" s="2" t="b">
        <v>1</v>
      </c>
      <c r="C37" s="2" t="b">
        <v>1</v>
      </c>
      <c r="D37" s="3" t="str">
        <f>HYPERLINK(PGVIM[[#This Row],[Folder Path]]&amp;PGVIM[[#This Row],[Name]], "เปิดไฟล์")</f>
        <v>เปิดไฟล์</v>
      </c>
      <c r="E37" t="s">
        <v>149</v>
      </c>
      <c r="F37" t="s">
        <v>24</v>
      </c>
      <c r="G37" s="1">
        <v>46057.575632719905</v>
      </c>
      <c r="H37" s="1">
        <v>45945.77235871528</v>
      </c>
      <c r="I37" s="1">
        <v>45945.772355347224</v>
      </c>
      <c r="J37" t="s">
        <v>137</v>
      </c>
    </row>
    <row r="38" spans="1:10" x14ac:dyDescent="0.45">
      <c r="A38" s="2" t="b">
        <v>1</v>
      </c>
      <c r="B38" s="2" t="b">
        <v>1</v>
      </c>
      <c r="C38" s="2" t="b">
        <v>1</v>
      </c>
      <c r="D38" s="3" t="str">
        <f>HYPERLINK(PGVIM[[#This Row],[Folder Path]]&amp;PGVIM[[#This Row],[Name]], "เปิดไฟล์")</f>
        <v>เปิดไฟล์</v>
      </c>
      <c r="E38" t="s">
        <v>153</v>
      </c>
      <c r="F38" t="s">
        <v>24</v>
      </c>
      <c r="G38" s="1">
        <v>46057.57563284722</v>
      </c>
      <c r="H38" s="1">
        <v>45950.591283703703</v>
      </c>
      <c r="I38" s="1">
        <v>45946.720898854168</v>
      </c>
      <c r="J38" t="s">
        <v>154</v>
      </c>
    </row>
    <row r="39" spans="1:10" x14ac:dyDescent="0.45">
      <c r="A39" s="2" t="b">
        <v>1</v>
      </c>
      <c r="B39" s="2" t="b">
        <v>1</v>
      </c>
      <c r="C39" s="2" t="b">
        <v>1</v>
      </c>
      <c r="D39" s="3" t="str">
        <f>HYPERLINK(PGVIM[[#This Row],[Folder Path]]&amp;PGVIM[[#This Row],[Name]], "เปิดไฟล์")</f>
        <v>เปิดไฟล์</v>
      </c>
      <c r="E39" t="s">
        <v>155</v>
      </c>
      <c r="F39" t="s">
        <v>24</v>
      </c>
      <c r="G39" s="1">
        <v>46057.575632858796</v>
      </c>
      <c r="H39" s="1">
        <v>45950.591873090278</v>
      </c>
      <c r="I39" s="1">
        <v>45946.72099616898</v>
      </c>
      <c r="J39" t="s">
        <v>154</v>
      </c>
    </row>
    <row r="40" spans="1:10" x14ac:dyDescent="0.45">
      <c r="A40" s="2" t="b">
        <v>1</v>
      </c>
      <c r="B40" s="2" t="b">
        <v>1</v>
      </c>
      <c r="C40" s="2" t="b">
        <v>1</v>
      </c>
      <c r="D40" s="3" t="str">
        <f>HYPERLINK(PGVIM[[#This Row],[Folder Path]]&amp;PGVIM[[#This Row],[Name]], "เปิดไฟล์")</f>
        <v>เปิดไฟล์</v>
      </c>
      <c r="E40" t="s">
        <v>156</v>
      </c>
      <c r="F40" t="s">
        <v>24</v>
      </c>
      <c r="G40" s="1">
        <v>46057.575632870372</v>
      </c>
      <c r="H40" s="1">
        <v>45950.592111458333</v>
      </c>
      <c r="I40" s="1">
        <v>45946.721222812499</v>
      </c>
      <c r="J40" t="s">
        <v>154</v>
      </c>
    </row>
    <row r="41" spans="1:10" x14ac:dyDescent="0.45">
      <c r="A41" s="2" t="b">
        <v>1</v>
      </c>
      <c r="B41" s="2" t="b">
        <v>1</v>
      </c>
      <c r="C41" s="2" t="b">
        <v>1</v>
      </c>
      <c r="D41" s="3" t="str">
        <f>HYPERLINK(PGVIM[[#This Row],[Folder Path]]&amp;PGVIM[[#This Row],[Name]], "เปิดไฟล์")</f>
        <v>เปิดไฟล์</v>
      </c>
      <c r="E41" t="s">
        <v>157</v>
      </c>
      <c r="F41" t="s">
        <v>24</v>
      </c>
      <c r="G41" s="1">
        <v>46057.575632777778</v>
      </c>
      <c r="H41" s="1">
        <v>45946.771401192127</v>
      </c>
      <c r="I41" s="1">
        <v>45946.771396365744</v>
      </c>
      <c r="J41" t="s">
        <v>154</v>
      </c>
    </row>
    <row r="42" spans="1:10" x14ac:dyDescent="0.45">
      <c r="A42" s="2" t="b">
        <v>1</v>
      </c>
      <c r="B42" s="2" t="b">
        <v>1</v>
      </c>
      <c r="C42" s="2" t="b">
        <v>1</v>
      </c>
      <c r="D42" s="3" t="str">
        <f>HYPERLINK(PGVIM[[#This Row],[Folder Path]]&amp;PGVIM[[#This Row],[Name]], "เปิดไฟล์")</f>
        <v>เปิดไฟล์</v>
      </c>
      <c r="E42" t="s">
        <v>158</v>
      </c>
      <c r="F42" t="s">
        <v>24</v>
      </c>
      <c r="G42" s="1">
        <v>46057.575632800923</v>
      </c>
      <c r="H42" s="1">
        <v>45946.771504826385</v>
      </c>
      <c r="I42" s="1">
        <v>45946.77149997685</v>
      </c>
      <c r="J42" t="s">
        <v>154</v>
      </c>
    </row>
    <row r="43" spans="1:10" x14ac:dyDescent="0.45">
      <c r="A43" s="2" t="b">
        <v>1</v>
      </c>
      <c r="B43" s="2" t="b">
        <v>1</v>
      </c>
      <c r="C43" s="2" t="b">
        <v>1</v>
      </c>
      <c r="D43" s="3" t="str">
        <f>HYPERLINK(PGVIM[[#This Row],[Folder Path]]&amp;PGVIM[[#This Row],[Name]], "เปิดไฟล์")</f>
        <v>เปิดไฟล์</v>
      </c>
      <c r="E43" t="s">
        <v>159</v>
      </c>
      <c r="F43" t="s">
        <v>24</v>
      </c>
      <c r="G43" s="1">
        <v>46057.57563284722</v>
      </c>
      <c r="H43" s="1">
        <v>45946.771617916667</v>
      </c>
      <c r="I43" s="1">
        <v>45946.771614097219</v>
      </c>
      <c r="J43" t="s">
        <v>154</v>
      </c>
    </row>
    <row r="44" spans="1:10" x14ac:dyDescent="0.45">
      <c r="A44" s="2" t="b">
        <v>1</v>
      </c>
      <c r="B44" s="2" t="b">
        <v>1</v>
      </c>
      <c r="C44" s="2" t="b">
        <v>1</v>
      </c>
      <c r="D44" s="3" t="str">
        <f>HYPERLINK(PGVIM[[#This Row],[Folder Path]]&amp;PGVIM[[#This Row],[Name]], "เปิดไฟล์")</f>
        <v>เปิดไฟล์</v>
      </c>
      <c r="E44" t="s">
        <v>160</v>
      </c>
      <c r="F44" t="s">
        <v>24</v>
      </c>
      <c r="G44" s="1">
        <v>46057.575632893517</v>
      </c>
      <c r="H44" s="1">
        <v>45946.771772546294</v>
      </c>
      <c r="I44" s="1">
        <v>45946.77176891204</v>
      </c>
      <c r="J44" t="s">
        <v>154</v>
      </c>
    </row>
    <row r="45" spans="1:10" x14ac:dyDescent="0.45">
      <c r="A45" s="2" t="b">
        <v>1</v>
      </c>
      <c r="B45" s="2" t="b">
        <v>1</v>
      </c>
      <c r="C45" s="2" t="b">
        <v>1</v>
      </c>
      <c r="D45" s="3" t="str">
        <f>HYPERLINK(PGVIM[[#This Row],[Folder Path]]&amp;PGVIM[[#This Row],[Name]], "เปิดไฟล์")</f>
        <v>เปิดไฟล์</v>
      </c>
      <c r="E45" t="s">
        <v>161</v>
      </c>
      <c r="F45" t="s">
        <v>24</v>
      </c>
      <c r="G45" s="1">
        <v>46057.575633148146</v>
      </c>
      <c r="H45" s="1">
        <v>45947.793767615738</v>
      </c>
      <c r="I45" s="1">
        <v>45947.793762499998</v>
      </c>
      <c r="J45" t="s">
        <v>162</v>
      </c>
    </row>
    <row r="46" spans="1:10" x14ac:dyDescent="0.45">
      <c r="A46" s="2" t="b">
        <v>1</v>
      </c>
      <c r="B46" s="2" t="b">
        <v>1</v>
      </c>
      <c r="C46" s="2" t="b">
        <v>1</v>
      </c>
      <c r="D46" s="3" t="str">
        <f>HYPERLINK(PGVIM[[#This Row],[Folder Path]]&amp;PGVIM[[#This Row],[Name]], "เปิดไฟล์")</f>
        <v>เปิดไฟล์</v>
      </c>
      <c r="E46" t="s">
        <v>163</v>
      </c>
      <c r="F46" t="s">
        <v>24</v>
      </c>
      <c r="G46" s="1">
        <v>46057.575632928238</v>
      </c>
      <c r="H46" s="1">
        <v>45947.793966874997</v>
      </c>
      <c r="I46" s="1">
        <v>45947.793962928241</v>
      </c>
      <c r="J46" t="s">
        <v>162</v>
      </c>
    </row>
    <row r="47" spans="1:10" x14ac:dyDescent="0.45">
      <c r="A47" s="2" t="b">
        <v>1</v>
      </c>
      <c r="B47" s="2" t="b">
        <v>1</v>
      </c>
      <c r="C47" s="2" t="b">
        <v>1</v>
      </c>
      <c r="D47" s="3" t="str">
        <f>HYPERLINK(PGVIM[[#This Row],[Folder Path]]&amp;PGVIM[[#This Row],[Name]], "เปิดไฟล์")</f>
        <v>เปิดไฟล์</v>
      </c>
      <c r="E47" t="s">
        <v>164</v>
      </c>
      <c r="F47" t="s">
        <v>24</v>
      </c>
      <c r="G47" s="1">
        <v>46057.575632986111</v>
      </c>
      <c r="H47" s="1">
        <v>45947.794171030095</v>
      </c>
      <c r="I47" s="1">
        <v>45947.79416646991</v>
      </c>
      <c r="J47" t="s">
        <v>162</v>
      </c>
    </row>
    <row r="48" spans="1:10" x14ac:dyDescent="0.45">
      <c r="A48" s="2" t="b">
        <v>1</v>
      </c>
      <c r="B48" s="2" t="b">
        <v>1</v>
      </c>
      <c r="C48" s="2" t="b">
        <v>1</v>
      </c>
      <c r="D48" s="3" t="str">
        <f>HYPERLINK(PGVIM[[#This Row],[Folder Path]]&amp;PGVIM[[#This Row],[Name]], "เปิดไฟล์")</f>
        <v>เปิดไฟล์</v>
      </c>
      <c r="E48" t="s">
        <v>165</v>
      </c>
      <c r="F48" t="s">
        <v>24</v>
      </c>
      <c r="G48" s="1">
        <v>46057.575633078704</v>
      </c>
      <c r="H48" s="1">
        <v>45947.794393958335</v>
      </c>
      <c r="I48" s="1">
        <v>45947.794388344904</v>
      </c>
      <c r="J48" t="s">
        <v>162</v>
      </c>
    </row>
    <row r="49" spans="1:10" x14ac:dyDescent="0.45">
      <c r="A49" s="2" t="b">
        <v>1</v>
      </c>
      <c r="B49" s="2" t="b">
        <v>1</v>
      </c>
      <c r="C49" s="2" t="b">
        <v>1</v>
      </c>
      <c r="D49" s="3" t="str">
        <f>HYPERLINK(PGVIM[[#This Row],[Folder Path]]&amp;PGVIM[[#This Row],[Name]], "เปิดไฟล์")</f>
        <v>เปิดไฟล์</v>
      </c>
      <c r="E49" t="s">
        <v>166</v>
      </c>
      <c r="F49" t="s">
        <v>24</v>
      </c>
      <c r="G49" s="1">
        <v>46057.575633113425</v>
      </c>
      <c r="H49" s="1">
        <v>45950.446097939814</v>
      </c>
      <c r="I49" s="1">
        <v>45950.446095023151</v>
      </c>
      <c r="J49" t="s">
        <v>167</v>
      </c>
    </row>
    <row r="50" spans="1:10" x14ac:dyDescent="0.45">
      <c r="A50" s="2" t="b">
        <v>1</v>
      </c>
      <c r="B50" s="2" t="b">
        <v>1</v>
      </c>
      <c r="C50" s="2" t="b">
        <v>1</v>
      </c>
      <c r="D50" s="3" t="str">
        <f>HYPERLINK(PGVIM[[#This Row],[Folder Path]]&amp;PGVIM[[#This Row],[Name]], "เปิดไฟล์")</f>
        <v>เปิดไฟล์</v>
      </c>
      <c r="E50" t="s">
        <v>168</v>
      </c>
      <c r="F50" t="s">
        <v>24</v>
      </c>
      <c r="G50" s="1">
        <v>46057.575633113425</v>
      </c>
      <c r="H50" s="1">
        <v>45950.44632505787</v>
      </c>
      <c r="I50" s="1">
        <v>45950.446322476855</v>
      </c>
      <c r="J50" t="s">
        <v>167</v>
      </c>
    </row>
    <row r="51" spans="1:10" x14ac:dyDescent="0.45">
      <c r="A51" s="2" t="b">
        <v>1</v>
      </c>
      <c r="B51" s="2" t="b">
        <v>1</v>
      </c>
      <c r="C51" s="2" t="b">
        <v>1</v>
      </c>
      <c r="D51" s="3" t="str">
        <f>HYPERLINK(PGVIM[[#This Row],[Folder Path]]&amp;PGVIM[[#This Row],[Name]], "เปิดไฟล์")</f>
        <v>เปิดไฟล์</v>
      </c>
      <c r="E51" t="s">
        <v>169</v>
      </c>
      <c r="F51" t="s">
        <v>24</v>
      </c>
      <c r="G51" s="1">
        <v>46057.575633368055</v>
      </c>
      <c r="H51" s="1">
        <v>45950.600305416665</v>
      </c>
      <c r="I51" s="1">
        <v>45950.60030179398</v>
      </c>
      <c r="J51" t="s">
        <v>167</v>
      </c>
    </row>
    <row r="52" spans="1:10" x14ac:dyDescent="0.45">
      <c r="A52" s="2" t="b">
        <v>1</v>
      </c>
      <c r="B52" s="2" t="b">
        <v>1</v>
      </c>
      <c r="C52" s="2" t="b">
        <v>1</v>
      </c>
      <c r="D52" s="3" t="str">
        <f>HYPERLINK(PGVIM[[#This Row],[Folder Path]]&amp;PGVIM[[#This Row],[Name]], "เปิดไฟล์")</f>
        <v>เปิดไฟล์</v>
      </c>
      <c r="E52" t="s">
        <v>170</v>
      </c>
      <c r="F52" t="s">
        <v>24</v>
      </c>
      <c r="G52" s="1">
        <v>46057.575633321758</v>
      </c>
      <c r="H52" s="1">
        <v>45950.600195254628</v>
      </c>
      <c r="I52" s="1">
        <v>45950.600191469908</v>
      </c>
      <c r="J52" t="s">
        <v>167</v>
      </c>
    </row>
    <row r="53" spans="1:10" x14ac:dyDescent="0.45">
      <c r="A53" s="2" t="b">
        <v>1</v>
      </c>
      <c r="B53" s="2" t="b">
        <v>1</v>
      </c>
      <c r="C53" s="2" t="b">
        <v>1</v>
      </c>
      <c r="D53" s="3" t="str">
        <f>HYPERLINK(PGVIM[[#This Row],[Folder Path]]&amp;PGVIM[[#This Row],[Name]], "เปิดไฟล์")</f>
        <v>เปิดไฟล์</v>
      </c>
      <c r="E53" t="s">
        <v>171</v>
      </c>
      <c r="F53" t="s">
        <v>24</v>
      </c>
      <c r="G53" s="1">
        <v>46057.575633298613</v>
      </c>
      <c r="H53" s="1">
        <v>45950.600476400461</v>
      </c>
      <c r="I53" s="1">
        <v>45950.600472800928</v>
      </c>
      <c r="J53" t="s">
        <v>167</v>
      </c>
    </row>
    <row r="54" spans="1:10" x14ac:dyDescent="0.45">
      <c r="A54" s="2" t="b">
        <v>1</v>
      </c>
      <c r="B54" s="2" t="b">
        <v>1</v>
      </c>
      <c r="C54" s="2" t="b">
        <v>1</v>
      </c>
      <c r="D54" s="3" t="str">
        <f>HYPERLINK(PGVIM[[#This Row],[Folder Path]]&amp;PGVIM[[#This Row],[Name]], "เปิดไฟล์")</f>
        <v>เปิดไฟล์</v>
      </c>
      <c r="E54" t="s">
        <v>172</v>
      </c>
      <c r="F54" t="s">
        <v>24</v>
      </c>
      <c r="G54" s="1">
        <v>46057.575633402776</v>
      </c>
      <c r="H54" s="1">
        <v>45950.600671759261</v>
      </c>
      <c r="I54" s="1">
        <v>45950.600667673614</v>
      </c>
      <c r="J54" t="s">
        <v>167</v>
      </c>
    </row>
    <row r="55" spans="1:10" x14ac:dyDescent="0.45">
      <c r="A55" s="2" t="b">
        <v>1</v>
      </c>
      <c r="B55" s="2" t="b">
        <v>1</v>
      </c>
      <c r="C55" s="2" t="b">
        <v>1</v>
      </c>
      <c r="D55" s="3" t="str">
        <f>HYPERLINK(PGVIM[[#This Row],[Folder Path]]&amp;PGVIM[[#This Row],[Name]], "เปิดไฟล์")</f>
        <v>เปิดไฟล์</v>
      </c>
      <c r="E55" t="s">
        <v>173</v>
      </c>
      <c r="F55" t="s">
        <v>24</v>
      </c>
      <c r="G55" s="1">
        <v>46057.575633229164</v>
      </c>
      <c r="H55" s="1">
        <v>45950.609392372688</v>
      </c>
      <c r="I55" s="1">
        <v>45950.609099791669</v>
      </c>
      <c r="J55" t="s">
        <v>167</v>
      </c>
    </row>
    <row r="56" spans="1:10" x14ac:dyDescent="0.45">
      <c r="A56" s="2" t="b">
        <v>1</v>
      </c>
      <c r="B56" s="2" t="b">
        <v>1</v>
      </c>
      <c r="C56" s="2" t="b">
        <v>1</v>
      </c>
      <c r="D56" s="3" t="str">
        <f>HYPERLINK(PGVIM[[#This Row],[Folder Path]]&amp;PGVIM[[#This Row],[Name]], "เปิดไฟล์")</f>
        <v>เปิดไฟล์</v>
      </c>
      <c r="E56" t="s">
        <v>174</v>
      </c>
      <c r="F56" t="s">
        <v>24</v>
      </c>
      <c r="G56" s="1">
        <v>46057.575633252316</v>
      </c>
      <c r="H56" s="1">
        <v>45950.609347337966</v>
      </c>
      <c r="I56" s="1">
        <v>45950.609210868053</v>
      </c>
      <c r="J56" t="s">
        <v>167</v>
      </c>
    </row>
    <row r="57" spans="1:10" x14ac:dyDescent="0.45">
      <c r="A57" s="2" t="b">
        <v>1</v>
      </c>
      <c r="B57" s="2" t="b">
        <v>1</v>
      </c>
      <c r="C57" s="2" t="b">
        <v>1</v>
      </c>
      <c r="D57" s="3" t="str">
        <f>HYPERLINK(PGVIM[[#This Row],[Folder Path]]&amp;PGVIM[[#This Row],[Name]], "เปิดไฟล์")</f>
        <v>เปิดไฟล์</v>
      </c>
      <c r="E57" t="s">
        <v>175</v>
      </c>
      <c r="F57" t="s">
        <v>24</v>
      </c>
      <c r="G57" s="1">
        <v>46057.575633541666</v>
      </c>
      <c r="H57" s="1">
        <v>45950.609875520837</v>
      </c>
      <c r="I57" s="1">
        <v>45950.609871967594</v>
      </c>
      <c r="J57" t="s">
        <v>167</v>
      </c>
    </row>
    <row r="58" spans="1:10" x14ac:dyDescent="0.45">
      <c r="A58" s="2" t="b">
        <v>1</v>
      </c>
      <c r="B58" s="2" t="b">
        <v>1</v>
      </c>
      <c r="C58" s="2" t="b">
        <v>1</v>
      </c>
      <c r="D58" s="3" t="str">
        <f>HYPERLINK(PGVIM[[#This Row],[Folder Path]]&amp;PGVIM[[#This Row],[Name]], "เปิดไฟล์")</f>
        <v>เปิดไฟล์</v>
      </c>
      <c r="E58" t="s">
        <v>176</v>
      </c>
      <c r="F58" t="s">
        <v>24</v>
      </c>
      <c r="G58" s="1">
        <v>46057.575633715278</v>
      </c>
      <c r="H58" s="1">
        <v>45950.610064166664</v>
      </c>
      <c r="I58" s="1">
        <v>45950.610061620369</v>
      </c>
      <c r="J58" t="s">
        <v>167</v>
      </c>
    </row>
    <row r="59" spans="1:10" x14ac:dyDescent="0.45">
      <c r="A59" s="2" t="b">
        <v>1</v>
      </c>
      <c r="B59" s="2" t="b">
        <v>1</v>
      </c>
      <c r="C59" s="2" t="b">
        <v>1</v>
      </c>
      <c r="D59" s="3" t="str">
        <f>HYPERLINK(PGVIM[[#This Row],[Folder Path]]&amp;PGVIM[[#This Row],[Name]], "เปิดไฟล์")</f>
        <v>เปิดไฟล์</v>
      </c>
      <c r="E59" t="s">
        <v>177</v>
      </c>
      <c r="F59" t="s">
        <v>24</v>
      </c>
      <c r="G59" s="1">
        <v>46057.575633645836</v>
      </c>
      <c r="H59" s="1">
        <v>45950.610236296299</v>
      </c>
      <c r="I59" s="1">
        <v>45950.610233726853</v>
      </c>
      <c r="J59" t="s">
        <v>167</v>
      </c>
    </row>
    <row r="60" spans="1:10" x14ac:dyDescent="0.45">
      <c r="A60" s="2" t="b">
        <v>1</v>
      </c>
      <c r="B60" s="2" t="b">
        <v>1</v>
      </c>
      <c r="C60" s="2" t="b">
        <v>1</v>
      </c>
      <c r="D60" s="3" t="str">
        <f>HYPERLINK(PGVIM[[#This Row],[Folder Path]]&amp;PGVIM[[#This Row],[Name]], "เปิดไฟล์")</f>
        <v>เปิดไฟล์</v>
      </c>
      <c r="E60" t="s">
        <v>178</v>
      </c>
      <c r="F60" t="s">
        <v>24</v>
      </c>
      <c r="G60" s="1">
        <v>46057.575633703702</v>
      </c>
      <c r="H60" s="1">
        <v>45950.610412870374</v>
      </c>
      <c r="I60" s="1">
        <v>45950.610409756948</v>
      </c>
      <c r="J60" t="s">
        <v>167</v>
      </c>
    </row>
    <row r="61" spans="1:10" x14ac:dyDescent="0.45">
      <c r="A61" s="2" t="b">
        <v>1</v>
      </c>
      <c r="B61" s="2" t="b">
        <v>1</v>
      </c>
      <c r="C61" s="2" t="b">
        <v>1</v>
      </c>
      <c r="D61" s="3" t="str">
        <f>HYPERLINK(PGVIM[[#This Row],[Folder Path]]&amp;PGVIM[[#This Row],[Name]], "เปิดไฟล์")</f>
        <v>เปิดไฟล์</v>
      </c>
      <c r="E61" t="s">
        <v>179</v>
      </c>
      <c r="F61" t="s">
        <v>24</v>
      </c>
      <c r="G61" s="1">
        <v>46057.575633680557</v>
      </c>
      <c r="H61" s="1">
        <v>45950.611766469905</v>
      </c>
      <c r="I61" s="1">
        <v>45950.611763692126</v>
      </c>
      <c r="J61" t="s">
        <v>167</v>
      </c>
    </row>
    <row r="62" spans="1:10" x14ac:dyDescent="0.45">
      <c r="A62" s="2" t="b">
        <v>1</v>
      </c>
      <c r="B62" s="2" t="b">
        <v>1</v>
      </c>
      <c r="C62" s="2" t="b">
        <v>1</v>
      </c>
      <c r="D62" s="3" t="str">
        <f>HYPERLINK(PGVIM[[#This Row],[Folder Path]]&amp;PGVIM[[#This Row],[Name]], "เปิดไฟล์")</f>
        <v>เปิดไฟล์</v>
      </c>
      <c r="E62" t="s">
        <v>186</v>
      </c>
      <c r="F62" t="s">
        <v>24</v>
      </c>
      <c r="G62" s="1">
        <v>46057.575633587963</v>
      </c>
      <c r="H62" s="1">
        <v>45957.513464212963</v>
      </c>
      <c r="I62" s="1">
        <v>45954.654674328704</v>
      </c>
      <c r="J62" t="s">
        <v>187</v>
      </c>
    </row>
    <row r="63" spans="1:10" x14ac:dyDescent="0.45">
      <c r="A63" s="2" t="b">
        <v>1</v>
      </c>
      <c r="B63" s="2" t="b">
        <v>1</v>
      </c>
      <c r="C63" s="2" t="b">
        <v>1</v>
      </c>
      <c r="D63" s="3" t="str">
        <f>HYPERLINK(PGVIM[[#This Row],[Folder Path]]&amp;PGVIM[[#This Row],[Name]], "เปิดไฟล์")</f>
        <v>เปิดไฟล์</v>
      </c>
      <c r="E63" t="s">
        <v>188</v>
      </c>
      <c r="F63" t="s">
        <v>24</v>
      </c>
      <c r="G63" s="1">
        <v>46057.575633657405</v>
      </c>
      <c r="H63" s="1">
        <v>45957.506277222223</v>
      </c>
      <c r="I63" s="1">
        <v>45954.654860682873</v>
      </c>
      <c r="J63" t="s">
        <v>187</v>
      </c>
    </row>
    <row r="64" spans="1:10" x14ac:dyDescent="0.45">
      <c r="A64" s="2" t="b">
        <v>1</v>
      </c>
      <c r="B64" s="2" t="b">
        <v>1</v>
      </c>
      <c r="C64" s="2" t="b">
        <v>1</v>
      </c>
      <c r="D64" s="3" t="str">
        <f>HYPERLINK(PGVIM[[#This Row],[Folder Path]]&amp;PGVIM[[#This Row],[Name]], "เปิดไฟล์")</f>
        <v>เปิดไฟล์</v>
      </c>
      <c r="E64" t="s">
        <v>189</v>
      </c>
      <c r="F64" t="s">
        <v>24</v>
      </c>
      <c r="G64" s="1">
        <v>46057.575633958331</v>
      </c>
      <c r="H64" s="1">
        <v>45954.660329826387</v>
      </c>
      <c r="I64" s="1">
        <v>45954.65600260417</v>
      </c>
      <c r="J64" t="s">
        <v>187</v>
      </c>
    </row>
    <row r="65" spans="1:10" x14ac:dyDescent="0.45">
      <c r="A65" s="2" t="b">
        <v>1</v>
      </c>
      <c r="B65" s="2" t="b">
        <v>1</v>
      </c>
      <c r="C65" s="2" t="b">
        <v>1</v>
      </c>
      <c r="D65" s="3" t="str">
        <f>HYPERLINK(PGVIM[[#This Row],[Folder Path]]&amp;PGVIM[[#This Row],[Name]], "เปิดไฟล์")</f>
        <v>เปิดไฟล์</v>
      </c>
      <c r="E65" t="s">
        <v>190</v>
      </c>
      <c r="F65" t="s">
        <v>24</v>
      </c>
      <c r="G65" s="1">
        <v>46057.575633703702</v>
      </c>
      <c r="H65" s="1">
        <v>45954.663540833331</v>
      </c>
      <c r="I65" s="1">
        <v>45954.656096307874</v>
      </c>
      <c r="J65" t="s">
        <v>187</v>
      </c>
    </row>
    <row r="66" spans="1:10" x14ac:dyDescent="0.45">
      <c r="A66" s="2" t="b">
        <v>1</v>
      </c>
      <c r="B66" s="2" t="b">
        <v>1</v>
      </c>
      <c r="C66" s="2" t="b">
        <v>1</v>
      </c>
      <c r="D66" s="3" t="str">
        <f>HYPERLINK(PGVIM[[#This Row],[Folder Path]]&amp;PGVIM[[#This Row],[Name]], "เปิดไฟล์")</f>
        <v>เปิดไฟล์</v>
      </c>
      <c r="E66" t="s">
        <v>191</v>
      </c>
      <c r="F66" t="s">
        <v>24</v>
      </c>
      <c r="G66" s="1">
        <v>46057.575633703702</v>
      </c>
      <c r="H66" s="1">
        <v>45954.664908796294</v>
      </c>
      <c r="I66" s="1">
        <v>45954.664904513891</v>
      </c>
      <c r="J66" t="s">
        <v>187</v>
      </c>
    </row>
    <row r="67" spans="1:10" x14ac:dyDescent="0.45">
      <c r="A67" s="2" t="b">
        <v>1</v>
      </c>
      <c r="B67" s="2" t="b">
        <v>1</v>
      </c>
      <c r="C67" s="2" t="b">
        <v>1</v>
      </c>
      <c r="D67" s="3" t="str">
        <f>HYPERLINK(PGVIM[[#This Row],[Folder Path]]&amp;PGVIM[[#This Row],[Name]], "เปิดไฟล์")</f>
        <v>เปิดไฟล์</v>
      </c>
      <c r="E67" t="s">
        <v>192</v>
      </c>
      <c r="F67" t="s">
        <v>24</v>
      </c>
      <c r="G67" s="1">
        <v>46057.575634050925</v>
      </c>
      <c r="H67" s="1">
        <v>45957.776540520834</v>
      </c>
      <c r="I67" s="1">
        <v>45957.77653609954</v>
      </c>
      <c r="J67" t="s">
        <v>193</v>
      </c>
    </row>
    <row r="68" spans="1:10" x14ac:dyDescent="0.45">
      <c r="A68" s="2" t="b">
        <v>1</v>
      </c>
      <c r="B68" s="2" t="b">
        <v>1</v>
      </c>
      <c r="C68" s="2" t="b">
        <v>1</v>
      </c>
      <c r="D68" s="3" t="str">
        <f>HYPERLINK(PGVIM[[#This Row],[Folder Path]]&amp;PGVIM[[#This Row],[Name]], "เปิดไฟล์")</f>
        <v>เปิดไฟล์</v>
      </c>
      <c r="E68" t="s">
        <v>194</v>
      </c>
      <c r="F68" t="s">
        <v>24</v>
      </c>
      <c r="G68" s="1">
        <v>46057.575634143519</v>
      </c>
      <c r="H68" s="1">
        <v>45957.776698506947</v>
      </c>
      <c r="I68" s="1">
        <v>45957.7766944213</v>
      </c>
      <c r="J68" t="s">
        <v>193</v>
      </c>
    </row>
    <row r="69" spans="1:10" x14ac:dyDescent="0.45">
      <c r="A69" s="2" t="b">
        <v>1</v>
      </c>
      <c r="B69" s="2" t="b">
        <v>1</v>
      </c>
      <c r="C69" s="2" t="b">
        <v>1</v>
      </c>
      <c r="D69" s="3" t="str">
        <f>HYPERLINK(PGVIM[[#This Row],[Folder Path]]&amp;PGVIM[[#This Row],[Name]], "เปิดไฟล์")</f>
        <v>เปิดไฟล์</v>
      </c>
      <c r="E69" t="s">
        <v>195</v>
      </c>
      <c r="F69" t="s">
        <v>24</v>
      </c>
      <c r="G69" s="1">
        <v>46057.575633831017</v>
      </c>
      <c r="H69" s="1">
        <v>45957.776872893519</v>
      </c>
      <c r="I69" s="1">
        <v>45957.776868842593</v>
      </c>
      <c r="J69" t="s">
        <v>193</v>
      </c>
    </row>
    <row r="70" spans="1:10" x14ac:dyDescent="0.45">
      <c r="A70" s="2" t="b">
        <v>1</v>
      </c>
      <c r="B70" s="2" t="b">
        <v>1</v>
      </c>
      <c r="C70" s="2" t="b">
        <v>1</v>
      </c>
      <c r="D70" s="3" t="str">
        <f>HYPERLINK(PGVIM[[#This Row],[Folder Path]]&amp;PGVIM[[#This Row],[Name]], "เปิดไฟล์")</f>
        <v>เปิดไฟล์</v>
      </c>
      <c r="E70" t="s">
        <v>196</v>
      </c>
      <c r="F70" t="s">
        <v>24</v>
      </c>
      <c r="G70" s="1">
        <v>46057.575633854169</v>
      </c>
      <c r="H70" s="1">
        <v>45957.777369016207</v>
      </c>
      <c r="I70" s="1">
        <v>45957.777365439812</v>
      </c>
      <c r="J70" t="s">
        <v>193</v>
      </c>
    </row>
    <row r="71" spans="1:10" x14ac:dyDescent="0.45">
      <c r="A71" s="2" t="b">
        <v>1</v>
      </c>
      <c r="B71" s="2" t="b">
        <v>1</v>
      </c>
      <c r="C71" s="2" t="b">
        <v>1</v>
      </c>
      <c r="D71" s="3" t="str">
        <f>HYPERLINK(PGVIM[[#This Row],[Folder Path]]&amp;PGVIM[[#This Row],[Name]], "เปิดไฟล์")</f>
        <v>เปิดไฟล์</v>
      </c>
      <c r="E71" t="s">
        <v>197</v>
      </c>
      <c r="F71" t="s">
        <v>24</v>
      </c>
      <c r="G71" s="1">
        <v>46057.575633958331</v>
      </c>
      <c r="H71" s="1">
        <v>45958.422928541666</v>
      </c>
      <c r="I71" s="1">
        <v>45958.42292527778</v>
      </c>
      <c r="J71" t="s">
        <v>198</v>
      </c>
    </row>
    <row r="72" spans="1:10" x14ac:dyDescent="0.45">
      <c r="A72" s="2" t="b">
        <v>1</v>
      </c>
      <c r="B72" s="2" t="b">
        <v>1</v>
      </c>
      <c r="C72" s="2" t="b">
        <v>1</v>
      </c>
      <c r="D72" s="3" t="str">
        <f>HYPERLINK(PGVIM[[#This Row],[Folder Path]]&amp;PGVIM[[#This Row],[Name]], "เปิดไฟล์")</f>
        <v>เปิดไฟล์</v>
      </c>
      <c r="E72" t="s">
        <v>199</v>
      </c>
      <c r="F72" t="s">
        <v>24</v>
      </c>
      <c r="G72" s="1">
        <v>46057.575634085646</v>
      </c>
      <c r="H72" s="1">
        <v>45958.667847696757</v>
      </c>
      <c r="I72" s="1">
        <v>45958.667843425923</v>
      </c>
      <c r="J72" t="s">
        <v>198</v>
      </c>
    </row>
    <row r="73" spans="1:10" x14ac:dyDescent="0.45">
      <c r="A73" s="2" t="b">
        <v>1</v>
      </c>
      <c r="B73" s="2" t="b">
        <v>1</v>
      </c>
      <c r="C73" s="2" t="b">
        <v>1</v>
      </c>
      <c r="D73" s="3" t="str">
        <f>HYPERLINK(PGVIM[[#This Row],[Folder Path]]&amp;PGVIM[[#This Row],[Name]], "เปิดไฟล์")</f>
        <v>เปิดไฟล์</v>
      </c>
      <c r="E73" t="s">
        <v>200</v>
      </c>
      <c r="F73" t="s">
        <v>24</v>
      </c>
      <c r="G73" s="1">
        <v>46057.575634131943</v>
      </c>
      <c r="H73" s="1">
        <v>45958.668142256945</v>
      </c>
      <c r="I73" s="1">
        <v>45958.668137256944</v>
      </c>
      <c r="J73" t="s">
        <v>198</v>
      </c>
    </row>
    <row r="74" spans="1:10" x14ac:dyDescent="0.45">
      <c r="A74" s="2" t="b">
        <v>1</v>
      </c>
      <c r="B74" s="2" t="b">
        <v>1</v>
      </c>
      <c r="C74" s="2" t="b">
        <v>1</v>
      </c>
      <c r="D74" s="3" t="str">
        <f>HYPERLINK(PGVIM[[#This Row],[Folder Path]]&amp;PGVIM[[#This Row],[Name]], "เปิดไฟล์")</f>
        <v>เปิดไฟล์</v>
      </c>
      <c r="E74" t="s">
        <v>212</v>
      </c>
      <c r="F74" t="s">
        <v>24</v>
      </c>
      <c r="G74" s="1">
        <v>46057.575634212961</v>
      </c>
      <c r="H74" s="1">
        <v>45959.767314745368</v>
      </c>
      <c r="I74" s="1">
        <v>45959.767311990741</v>
      </c>
      <c r="J74" t="s">
        <v>213</v>
      </c>
    </row>
    <row r="75" spans="1:10" x14ac:dyDescent="0.45">
      <c r="A75" s="2" t="b">
        <v>1</v>
      </c>
      <c r="B75" s="2" t="b">
        <v>1</v>
      </c>
      <c r="C75" s="2" t="b">
        <v>1</v>
      </c>
      <c r="D75" s="3" t="str">
        <f>HYPERLINK(PGVIM[[#This Row],[Folder Path]]&amp;PGVIM[[#This Row],[Name]], "เปิดไฟล์")</f>
        <v>เปิดไฟล์</v>
      </c>
      <c r="E75" t="s">
        <v>214</v>
      </c>
      <c r="F75" t="s">
        <v>24</v>
      </c>
      <c r="G75" s="1">
        <v>46057.575634421293</v>
      </c>
      <c r="H75" s="1">
        <v>45959.900185937498</v>
      </c>
      <c r="I75" s="1">
        <v>45959.900183090278</v>
      </c>
      <c r="J75" t="s">
        <v>213</v>
      </c>
    </row>
    <row r="76" spans="1:10" x14ac:dyDescent="0.45">
      <c r="A76" s="2" t="b">
        <v>1</v>
      </c>
      <c r="B76" s="2" t="b">
        <v>1</v>
      </c>
      <c r="C76" s="2" t="b">
        <v>1</v>
      </c>
      <c r="D76" s="3" t="str">
        <f>HYPERLINK(PGVIM[[#This Row],[Folder Path]]&amp;PGVIM[[#This Row],[Name]], "เปิดไฟล์")</f>
        <v>เปิดไฟล์</v>
      </c>
      <c r="E76" t="s">
        <v>215</v>
      </c>
      <c r="F76" t="s">
        <v>24</v>
      </c>
      <c r="G76" s="1">
        <v>46057.575634189816</v>
      </c>
      <c r="H76" s="1">
        <v>45961.629745636572</v>
      </c>
      <c r="I76" s="1">
        <v>45961.629741921293</v>
      </c>
      <c r="J76" t="s">
        <v>216</v>
      </c>
    </row>
    <row r="77" spans="1:10" x14ac:dyDescent="0.45">
      <c r="A77" s="2" t="b">
        <v>1</v>
      </c>
      <c r="B77" s="2" t="b">
        <v>1</v>
      </c>
      <c r="C77" s="2" t="b">
        <v>1</v>
      </c>
      <c r="D77" s="3" t="str">
        <f>HYPERLINK(PGVIM[[#This Row],[Folder Path]]&amp;PGVIM[[#This Row],[Name]], "เปิดไฟล์")</f>
        <v>เปิดไฟล์</v>
      </c>
      <c r="E77" t="s">
        <v>217</v>
      </c>
      <c r="F77" t="s">
        <v>24</v>
      </c>
      <c r="G77" s="1">
        <v>46057.575634201392</v>
      </c>
      <c r="H77" s="1">
        <v>45961.735269837962</v>
      </c>
      <c r="I77" s="1">
        <v>45961.735265462965</v>
      </c>
      <c r="J77" t="s">
        <v>216</v>
      </c>
    </row>
    <row r="78" spans="1:10" x14ac:dyDescent="0.45">
      <c r="A78" s="2" t="b">
        <v>1</v>
      </c>
      <c r="B78" s="2" t="b">
        <v>1</v>
      </c>
      <c r="C78" s="2" t="b">
        <v>1</v>
      </c>
      <c r="D78" s="3" t="str">
        <f>HYPERLINK(PGVIM[[#This Row],[Folder Path]]&amp;PGVIM[[#This Row],[Name]], "เปิดไฟล์")</f>
        <v>เปิดไฟล์</v>
      </c>
      <c r="E78" t="s">
        <v>218</v>
      </c>
      <c r="F78" t="s">
        <v>24</v>
      </c>
      <c r="G78" s="1">
        <v>46057.575634236113</v>
      </c>
      <c r="H78" s="1">
        <v>45961.735550104167</v>
      </c>
      <c r="I78" s="1">
        <v>45961.735546261574</v>
      </c>
      <c r="J78" t="s">
        <v>216</v>
      </c>
    </row>
    <row r="79" spans="1:10" x14ac:dyDescent="0.45">
      <c r="A79" s="2" t="b">
        <v>1</v>
      </c>
      <c r="B79" s="2" t="b">
        <v>1</v>
      </c>
      <c r="C79" s="2" t="b">
        <v>1</v>
      </c>
      <c r="D79" s="3" t="str">
        <f>HYPERLINK(PGVIM[[#This Row],[Folder Path]]&amp;PGVIM[[#This Row],[Name]], "เปิดไฟล์")</f>
        <v>เปิดไฟล์</v>
      </c>
      <c r="E79" t="s">
        <v>228</v>
      </c>
      <c r="F79" t="s">
        <v>24</v>
      </c>
      <c r="G79" s="1">
        <v>46057.575634270834</v>
      </c>
      <c r="H79" s="1">
        <v>45972.454504305555</v>
      </c>
      <c r="I79" s="1">
        <v>45972.454500127315</v>
      </c>
      <c r="J79" t="s">
        <v>229</v>
      </c>
    </row>
    <row r="80" spans="1:10" x14ac:dyDescent="0.45">
      <c r="A80" s="2" t="b">
        <v>1</v>
      </c>
      <c r="B80" s="2" t="b">
        <v>1</v>
      </c>
      <c r="C80" s="2" t="b">
        <v>1</v>
      </c>
      <c r="D80" s="3" t="str">
        <f>HYPERLINK(PGVIM[[#This Row],[Folder Path]]&amp;PGVIM[[#This Row],[Name]], "เปิดไฟล์")</f>
        <v>เปิดไฟล์</v>
      </c>
      <c r="E80" t="s">
        <v>235</v>
      </c>
      <c r="F80" t="s">
        <v>24</v>
      </c>
      <c r="G80" s="1">
        <v>46057.575634270834</v>
      </c>
      <c r="H80" s="1">
        <v>45973.599372511577</v>
      </c>
      <c r="I80" s="1">
        <v>45973.599369490737</v>
      </c>
      <c r="J80" t="s">
        <v>236</v>
      </c>
    </row>
    <row r="81" spans="1:10" x14ac:dyDescent="0.45">
      <c r="A81" s="2" t="b">
        <v>1</v>
      </c>
      <c r="B81" s="2" t="b">
        <v>1</v>
      </c>
      <c r="C81" s="2" t="b">
        <v>1</v>
      </c>
      <c r="D81" s="3" t="str">
        <f>HYPERLINK(PGVIM[[#This Row],[Folder Path]]&amp;PGVIM[[#This Row],[Name]], "เปิดไฟล์")</f>
        <v>เปิดไฟล์</v>
      </c>
      <c r="E81" t="s">
        <v>240</v>
      </c>
      <c r="F81" t="s">
        <v>24</v>
      </c>
      <c r="G81" s="1">
        <v>46057.575634386572</v>
      </c>
      <c r="H81" s="1">
        <v>45981.412608854167</v>
      </c>
      <c r="I81" s="1">
        <v>45973.614699351849</v>
      </c>
      <c r="J81" t="s">
        <v>236</v>
      </c>
    </row>
    <row r="82" spans="1:10" x14ac:dyDescent="0.45">
      <c r="A82" s="2" t="b">
        <v>1</v>
      </c>
      <c r="B82" s="2" t="b">
        <v>1</v>
      </c>
      <c r="C82" s="2" t="b">
        <v>1</v>
      </c>
      <c r="D82" s="3" t="str">
        <f>HYPERLINK(PGVIM[[#This Row],[Folder Path]]&amp;PGVIM[[#This Row],[Name]], "เปิดไฟล์")</f>
        <v>เปิดไฟล์</v>
      </c>
      <c r="E82" t="s">
        <v>241</v>
      </c>
      <c r="F82" t="s">
        <v>24</v>
      </c>
      <c r="G82" s="1">
        <v>46057.575634502318</v>
      </c>
      <c r="H82" s="1">
        <v>45973.635434201387</v>
      </c>
      <c r="I82" s="1">
        <v>45973.635430532406</v>
      </c>
      <c r="J82" t="s">
        <v>236</v>
      </c>
    </row>
    <row r="83" spans="1:10" x14ac:dyDescent="0.45">
      <c r="A83" s="2" t="b">
        <v>1</v>
      </c>
      <c r="B83" s="2" t="b">
        <v>1</v>
      </c>
      <c r="C83" s="2" t="b">
        <v>1</v>
      </c>
      <c r="D83" s="3" t="str">
        <f>HYPERLINK(PGVIM[[#This Row],[Folder Path]]&amp;PGVIM[[#This Row],[Name]], "เปิดไฟล์")</f>
        <v>เปิดไฟล์</v>
      </c>
      <c r="E83" t="s">
        <v>251</v>
      </c>
      <c r="F83" t="s">
        <v>24</v>
      </c>
      <c r="G83" s="1">
        <v>46057.57563457176</v>
      </c>
      <c r="H83" s="1">
        <v>45974.429961967595</v>
      </c>
      <c r="I83" s="1">
        <v>45974.429959560184</v>
      </c>
      <c r="J83" t="s">
        <v>252</v>
      </c>
    </row>
    <row r="84" spans="1:10" x14ac:dyDescent="0.45">
      <c r="A84" s="2" t="b">
        <v>1</v>
      </c>
      <c r="B84" s="2" t="b">
        <v>1</v>
      </c>
      <c r="C84" s="2" t="b">
        <v>1</v>
      </c>
      <c r="D84" s="3" t="str">
        <f>HYPERLINK(PGVIM[[#This Row],[Folder Path]]&amp;PGVIM[[#This Row],[Name]], "เปิดไฟล์")</f>
        <v>เปิดไฟล์</v>
      </c>
      <c r="E84" t="s">
        <v>253</v>
      </c>
      <c r="F84" t="s">
        <v>24</v>
      </c>
      <c r="G84" s="1">
        <v>46057.575634583336</v>
      </c>
      <c r="H84" s="1">
        <v>45974.664734606478</v>
      </c>
      <c r="I84" s="1">
        <v>45974.628402187504</v>
      </c>
      <c r="J84" t="s">
        <v>252</v>
      </c>
    </row>
    <row r="85" spans="1:10" x14ac:dyDescent="0.45">
      <c r="A85" s="2" t="b">
        <v>1</v>
      </c>
      <c r="B85" s="2" t="b">
        <v>1</v>
      </c>
      <c r="C85" s="2" t="b">
        <v>1</v>
      </c>
      <c r="D85" s="3" t="str">
        <f>HYPERLINK(PGVIM[[#This Row],[Folder Path]]&amp;PGVIM[[#This Row],[Name]], "เปิดไฟล์")</f>
        <v>เปิดไฟล์</v>
      </c>
      <c r="E85" t="s">
        <v>258</v>
      </c>
      <c r="F85" t="s">
        <v>24</v>
      </c>
      <c r="G85" s="1">
        <v>46057.575634583336</v>
      </c>
      <c r="H85" s="1">
        <v>45974.636411412037</v>
      </c>
      <c r="I85" s="1">
        <v>45974.635311736114</v>
      </c>
      <c r="J85" t="s">
        <v>252</v>
      </c>
    </row>
    <row r="86" spans="1:10" x14ac:dyDescent="0.45">
      <c r="A86" s="2" t="b">
        <v>1</v>
      </c>
      <c r="B86" s="2" t="b">
        <v>1</v>
      </c>
      <c r="C86" s="2" t="b">
        <v>1</v>
      </c>
      <c r="D86" s="3" t="str">
        <f>HYPERLINK(PGVIM[[#This Row],[Folder Path]]&amp;PGVIM[[#This Row],[Name]], "เปิดไฟล์")</f>
        <v>เปิดไฟล์</v>
      </c>
      <c r="E86" t="s">
        <v>270</v>
      </c>
      <c r="F86" t="s">
        <v>24</v>
      </c>
      <c r="G86" s="1">
        <v>46057.575634629633</v>
      </c>
      <c r="H86" s="1">
        <v>45977.886481712965</v>
      </c>
      <c r="I86" s="1">
        <v>45977.886479548608</v>
      </c>
      <c r="J86" t="s">
        <v>252</v>
      </c>
    </row>
    <row r="87" spans="1:10" x14ac:dyDescent="0.45">
      <c r="A87" s="2" t="b">
        <v>1</v>
      </c>
      <c r="B87" s="2" t="b">
        <v>1</v>
      </c>
      <c r="C87" s="2" t="b">
        <v>1</v>
      </c>
      <c r="D87" s="3" t="str">
        <f>HYPERLINK(PGVIM[[#This Row],[Folder Path]]&amp;PGVIM[[#This Row],[Name]], "เปิดไฟล์")</f>
        <v>เปิดไฟล์</v>
      </c>
      <c r="E87" t="s">
        <v>261</v>
      </c>
      <c r="F87" t="s">
        <v>24</v>
      </c>
      <c r="G87" s="1">
        <v>46057.575634641202</v>
      </c>
      <c r="H87" s="1">
        <v>45975.458440497685</v>
      </c>
      <c r="I87" s="1">
        <v>45975.458437847221</v>
      </c>
      <c r="J87" t="s">
        <v>262</v>
      </c>
    </row>
    <row r="88" spans="1:10" x14ac:dyDescent="0.45">
      <c r="A88" s="2" t="b">
        <v>1</v>
      </c>
      <c r="B88" s="2" t="b">
        <v>1</v>
      </c>
      <c r="C88" s="2" t="b">
        <v>1</v>
      </c>
      <c r="D88" s="3" t="str">
        <f>HYPERLINK(PGVIM[[#This Row],[Folder Path]]&amp;PGVIM[[#This Row],[Name]], "เปิดไฟล์")</f>
        <v>เปิดไฟล์</v>
      </c>
      <c r="E88" t="s">
        <v>271</v>
      </c>
      <c r="F88" t="s">
        <v>24</v>
      </c>
      <c r="G88" s="1">
        <v>46057.575634652778</v>
      </c>
      <c r="H88" s="1">
        <v>45978.589412939815</v>
      </c>
      <c r="I88" s="1">
        <v>45978.589409224536</v>
      </c>
      <c r="J88" t="s">
        <v>272</v>
      </c>
    </row>
    <row r="89" spans="1:10" x14ac:dyDescent="0.45">
      <c r="A89" s="2" t="b">
        <v>1</v>
      </c>
      <c r="B89" s="2" t="b">
        <v>1</v>
      </c>
      <c r="C89" s="2" t="b">
        <v>1</v>
      </c>
      <c r="D89" s="3" t="str">
        <f>HYPERLINK(PGVIM[[#This Row],[Folder Path]]&amp;PGVIM[[#This Row],[Name]], "เปิดไฟล์")</f>
        <v>เปิดไฟล์</v>
      </c>
      <c r="E89" t="s">
        <v>273</v>
      </c>
      <c r="F89" t="s">
        <v>24</v>
      </c>
      <c r="G89" s="1">
        <v>46057.575634664354</v>
      </c>
      <c r="H89" s="1">
        <v>45978.589520104164</v>
      </c>
      <c r="I89" s="1">
        <v>45978.589516921296</v>
      </c>
      <c r="J89" t="s">
        <v>272</v>
      </c>
    </row>
    <row r="90" spans="1:10" x14ac:dyDescent="0.45">
      <c r="A90" s="2" t="b">
        <v>1</v>
      </c>
      <c r="B90" s="2" t="b">
        <v>1</v>
      </c>
      <c r="C90" s="2" t="b">
        <v>1</v>
      </c>
      <c r="D90" s="3" t="str">
        <f>HYPERLINK(PGVIM[[#This Row],[Folder Path]]&amp;PGVIM[[#This Row],[Name]], "เปิดไฟล์")</f>
        <v>เปิดไฟล์</v>
      </c>
      <c r="E90" t="s">
        <v>274</v>
      </c>
      <c r="F90" t="s">
        <v>24</v>
      </c>
      <c r="G90" s="1">
        <v>46057.575634942128</v>
      </c>
      <c r="H90" s="1">
        <v>45978.589647118053</v>
      </c>
      <c r="I90" s="1">
        <v>45978.589643877312</v>
      </c>
      <c r="J90" t="s">
        <v>272</v>
      </c>
    </row>
    <row r="91" spans="1:10" x14ac:dyDescent="0.45">
      <c r="A91" s="2" t="b">
        <v>1</v>
      </c>
      <c r="B91" s="2" t="b">
        <v>1</v>
      </c>
      <c r="C91" s="2" t="b">
        <v>1</v>
      </c>
      <c r="D91" s="3" t="str">
        <f>HYPERLINK(PGVIM[[#This Row],[Folder Path]]&amp;PGVIM[[#This Row],[Name]], "เปิดไฟล์")</f>
        <v>เปิดไฟล์</v>
      </c>
      <c r="E91" t="s">
        <v>275</v>
      </c>
      <c r="F91" t="s">
        <v>24</v>
      </c>
      <c r="G91" s="1">
        <v>46057.575634918983</v>
      </c>
      <c r="H91" s="1">
        <v>45978.629168414351</v>
      </c>
      <c r="I91" s="1">
        <v>45978.628144085647</v>
      </c>
      <c r="J91" t="s">
        <v>272</v>
      </c>
    </row>
    <row r="92" spans="1:10" x14ac:dyDescent="0.45">
      <c r="A92" s="2" t="b">
        <v>1</v>
      </c>
      <c r="B92" s="2" t="b">
        <v>1</v>
      </c>
      <c r="C92" s="2" t="b">
        <v>1</v>
      </c>
      <c r="D92" s="3" t="str">
        <f>HYPERLINK(PGVIM[[#This Row],[Folder Path]]&amp;PGVIM[[#This Row],[Name]], "เปิดไฟล์")</f>
        <v>เปิดไฟล์</v>
      </c>
      <c r="E92" t="s">
        <v>276</v>
      </c>
      <c r="F92" t="s">
        <v>24</v>
      </c>
      <c r="G92" s="1">
        <v>46057.57563496528</v>
      </c>
      <c r="H92" s="1">
        <v>45978.628864814818</v>
      </c>
      <c r="I92" s="1">
        <v>45978.628862268517</v>
      </c>
      <c r="J92" t="s">
        <v>272</v>
      </c>
    </row>
    <row r="93" spans="1:10" x14ac:dyDescent="0.45">
      <c r="A93" s="2" t="b">
        <v>1</v>
      </c>
      <c r="B93" s="2" t="b">
        <v>1</v>
      </c>
      <c r="C93" s="2" t="b">
        <v>1</v>
      </c>
      <c r="D93" s="3" t="str">
        <f>HYPERLINK(PGVIM[[#This Row],[Folder Path]]&amp;PGVIM[[#This Row],[Name]], "เปิดไฟล์")</f>
        <v>เปิดไฟล์</v>
      </c>
      <c r="E93" t="s">
        <v>277</v>
      </c>
      <c r="F93" t="s">
        <v>24</v>
      </c>
      <c r="G93" s="1">
        <v>46057.575635023146</v>
      </c>
      <c r="H93" s="1">
        <v>45978.629038252315</v>
      </c>
      <c r="I93" s="1">
        <v>45978.628473611112</v>
      </c>
      <c r="J93" t="s">
        <v>272</v>
      </c>
    </row>
    <row r="94" spans="1:10" x14ac:dyDescent="0.45">
      <c r="A94" s="2" t="b">
        <v>1</v>
      </c>
      <c r="B94" s="2" t="b">
        <v>1</v>
      </c>
      <c r="C94" s="2" t="b">
        <v>1</v>
      </c>
      <c r="D94" s="3" t="str">
        <f>HYPERLINK(PGVIM[[#This Row],[Folder Path]]&amp;PGVIM[[#This Row],[Name]], "เปิดไฟล์")</f>
        <v>เปิดไฟล์</v>
      </c>
      <c r="E94" t="s">
        <v>280</v>
      </c>
      <c r="F94" t="s">
        <v>24</v>
      </c>
      <c r="G94" s="1">
        <v>46057.575634907407</v>
      </c>
      <c r="H94" s="1">
        <v>45979.720868460645</v>
      </c>
      <c r="I94" s="1">
        <v>45979.720864444447</v>
      </c>
      <c r="J94" t="s">
        <v>281</v>
      </c>
    </row>
    <row r="95" spans="1:10" x14ac:dyDescent="0.45">
      <c r="A95" s="2" t="b">
        <v>1</v>
      </c>
      <c r="B95" s="2" t="b">
        <v>1</v>
      </c>
      <c r="C95" s="2" t="b">
        <v>1</v>
      </c>
      <c r="D95" s="3" t="str">
        <f>HYPERLINK(PGVIM[[#This Row],[Folder Path]]&amp;PGVIM[[#This Row],[Name]], "เปิดไฟล์")</f>
        <v>เปิดไฟล์</v>
      </c>
      <c r="E95" t="s">
        <v>282</v>
      </c>
      <c r="F95" t="s">
        <v>24</v>
      </c>
      <c r="G95" s="1">
        <v>46057.575634942128</v>
      </c>
      <c r="H95" s="1">
        <v>45979.720977233796</v>
      </c>
      <c r="I95" s="1">
        <v>45979.720974027776</v>
      </c>
      <c r="J95" t="s">
        <v>281</v>
      </c>
    </row>
    <row r="96" spans="1:10" x14ac:dyDescent="0.45">
      <c r="A96" s="2" t="b">
        <v>1</v>
      </c>
      <c r="B96" s="2" t="b">
        <v>1</v>
      </c>
      <c r="C96" s="2" t="b">
        <v>1</v>
      </c>
      <c r="D96" s="3" t="str">
        <f>HYPERLINK(PGVIM[[#This Row],[Folder Path]]&amp;PGVIM[[#This Row],[Name]], "เปิดไฟล์")</f>
        <v>เปิดไฟล์</v>
      </c>
      <c r="E96" t="s">
        <v>287</v>
      </c>
      <c r="F96" t="s">
        <v>24</v>
      </c>
      <c r="G96" s="1">
        <v>46057.575634942128</v>
      </c>
      <c r="H96" s="1">
        <v>45980.424754131942</v>
      </c>
      <c r="I96" s="1">
        <v>45980.424750162034</v>
      </c>
      <c r="J96" t="s">
        <v>288</v>
      </c>
    </row>
    <row r="97" spans="1:10" x14ac:dyDescent="0.45">
      <c r="A97" s="2" t="b">
        <v>1</v>
      </c>
      <c r="B97" s="2" t="b">
        <v>1</v>
      </c>
      <c r="C97" s="2" t="b">
        <v>1</v>
      </c>
      <c r="D97" s="3" t="str">
        <f>HYPERLINK(PGVIM[[#This Row],[Folder Path]]&amp;PGVIM[[#This Row],[Name]], "เปิดไฟล์")</f>
        <v>เปิดไฟล์</v>
      </c>
      <c r="E97" t="s">
        <v>296</v>
      </c>
      <c r="F97" t="s">
        <v>24</v>
      </c>
      <c r="G97" s="1">
        <v>46057.575634953704</v>
      </c>
      <c r="H97" s="1">
        <v>45980.474925856484</v>
      </c>
      <c r="I97" s="1">
        <v>45980.474922881942</v>
      </c>
      <c r="J97" t="s">
        <v>288</v>
      </c>
    </row>
    <row r="98" spans="1:10" x14ac:dyDescent="0.45">
      <c r="A98" s="2" t="b">
        <v>1</v>
      </c>
      <c r="B98" s="2" t="b">
        <v>1</v>
      </c>
      <c r="C98" s="2" t="b">
        <v>1</v>
      </c>
      <c r="D98" s="3" t="str">
        <f>HYPERLINK(PGVIM[[#This Row],[Folder Path]]&amp;PGVIM[[#This Row],[Name]], "เปิดไฟล์")</f>
        <v>เปิดไฟล์</v>
      </c>
      <c r="E98" t="s">
        <v>297</v>
      </c>
      <c r="F98" t="s">
        <v>24</v>
      </c>
      <c r="G98" s="1">
        <v>46057.575635208334</v>
      </c>
      <c r="H98" s="1">
        <v>45981.439881412036</v>
      </c>
      <c r="I98" s="1">
        <v>45980.475093043984</v>
      </c>
      <c r="J98" t="s">
        <v>288</v>
      </c>
    </row>
    <row r="99" spans="1:10" x14ac:dyDescent="0.45">
      <c r="A99" s="2" t="b">
        <v>1</v>
      </c>
      <c r="B99" s="2" t="b">
        <v>1</v>
      </c>
      <c r="C99" s="2" t="b">
        <v>1</v>
      </c>
      <c r="D99" s="3" t="str">
        <f>HYPERLINK(PGVIM[[#This Row],[Folder Path]]&amp;PGVIM[[#This Row],[Name]], "เปิดไฟล์")</f>
        <v>เปิดไฟล์</v>
      </c>
      <c r="E99" t="s">
        <v>298</v>
      </c>
      <c r="F99" t="s">
        <v>24</v>
      </c>
      <c r="G99" s="1">
        <v>46057.575635243054</v>
      </c>
      <c r="H99" s="1">
        <v>45981.440002025462</v>
      </c>
      <c r="I99" s="1">
        <v>45980.475516655089</v>
      </c>
      <c r="J99" t="s">
        <v>288</v>
      </c>
    </row>
    <row r="100" spans="1:10" x14ac:dyDescent="0.45">
      <c r="A100" s="2" t="b">
        <v>1</v>
      </c>
      <c r="B100" s="2" t="b">
        <v>1</v>
      </c>
      <c r="C100" s="2" t="b">
        <v>1</v>
      </c>
      <c r="D100" s="3" t="str">
        <f>HYPERLINK(PGVIM[[#This Row],[Folder Path]]&amp;PGVIM[[#This Row],[Name]], "เปิดไฟล์")</f>
        <v>เปิดไฟล์</v>
      </c>
      <c r="E100" t="s">
        <v>299</v>
      </c>
      <c r="F100" t="s">
        <v>24</v>
      </c>
      <c r="G100" s="1">
        <v>46057.575635324072</v>
      </c>
      <c r="H100" s="1">
        <v>45981.440121331019</v>
      </c>
      <c r="I100" s="1">
        <v>45980.475703611111</v>
      </c>
      <c r="J100" t="s">
        <v>288</v>
      </c>
    </row>
    <row r="101" spans="1:10" x14ac:dyDescent="0.45">
      <c r="A101" s="2" t="b">
        <v>1</v>
      </c>
      <c r="B101" s="2" t="b">
        <v>1</v>
      </c>
      <c r="C101" s="2" t="b">
        <v>1</v>
      </c>
      <c r="D101" s="3" t="str">
        <f>HYPERLINK(PGVIM[[#This Row],[Folder Path]]&amp;PGVIM[[#This Row],[Name]], "เปิดไฟล์")</f>
        <v>เปิดไฟล์</v>
      </c>
      <c r="E101" t="s">
        <v>309</v>
      </c>
      <c r="F101" t="s">
        <v>24</v>
      </c>
      <c r="G101" s="1">
        <v>46057.575635416666</v>
      </c>
      <c r="H101" s="1">
        <v>45981.504631446762</v>
      </c>
      <c r="I101" s="1">
        <v>45981.504627951392</v>
      </c>
      <c r="J101" t="s">
        <v>310</v>
      </c>
    </row>
    <row r="102" spans="1:10" x14ac:dyDescent="0.45">
      <c r="A102" s="2" t="b">
        <v>1</v>
      </c>
      <c r="B102" s="2" t="b">
        <v>1</v>
      </c>
      <c r="C102" s="2" t="b">
        <v>1</v>
      </c>
      <c r="D102" s="3" t="str">
        <f>HYPERLINK(PGVIM[[#This Row],[Folder Path]]&amp;PGVIM[[#This Row],[Name]], "เปิดไฟล์")</f>
        <v>เปิดไฟล์</v>
      </c>
      <c r="E102" t="s">
        <v>311</v>
      </c>
      <c r="F102" t="s">
        <v>24</v>
      </c>
      <c r="G102" s="1">
        <v>46057.575635393521</v>
      </c>
      <c r="H102" s="1">
        <v>45981.505554641204</v>
      </c>
      <c r="I102" s="1">
        <v>45981.504801446761</v>
      </c>
      <c r="J102" t="s">
        <v>310</v>
      </c>
    </row>
    <row r="103" spans="1:10" x14ac:dyDescent="0.45">
      <c r="A103" s="2" t="b">
        <v>1</v>
      </c>
      <c r="B103" s="2" t="b">
        <v>1</v>
      </c>
      <c r="C103" s="2" t="b">
        <v>1</v>
      </c>
      <c r="D103" s="3" t="str">
        <f>HYPERLINK(PGVIM[[#This Row],[Folder Path]]&amp;PGVIM[[#This Row],[Name]], "เปิดไฟล์")</f>
        <v>เปิดไฟล์</v>
      </c>
      <c r="E103" t="s">
        <v>312</v>
      </c>
      <c r="F103" t="s">
        <v>24</v>
      </c>
      <c r="G103" s="1">
        <v>46057.575635451387</v>
      </c>
      <c r="H103" s="1">
        <v>45981.505015694442</v>
      </c>
      <c r="I103" s="1">
        <v>45981.505011944442</v>
      </c>
      <c r="J103" t="s">
        <v>310</v>
      </c>
    </row>
    <row r="104" spans="1:10" x14ac:dyDescent="0.45">
      <c r="A104" s="2" t="b">
        <v>1</v>
      </c>
      <c r="B104" s="2" t="b">
        <v>1</v>
      </c>
      <c r="C104" s="2" t="b">
        <v>1</v>
      </c>
      <c r="D104" s="3" t="str">
        <f>HYPERLINK(PGVIM[[#This Row],[Folder Path]]&amp;PGVIM[[#This Row],[Name]], "เปิดไฟล์")</f>
        <v>เปิดไฟล์</v>
      </c>
      <c r="E104" t="s">
        <v>313</v>
      </c>
      <c r="F104" t="s">
        <v>24</v>
      </c>
      <c r="G104" s="1">
        <v>46057.575635243054</v>
      </c>
      <c r="H104" s="1">
        <v>45981.514295381945</v>
      </c>
      <c r="I104" s="1">
        <v>45981.514292476852</v>
      </c>
      <c r="J104" t="s">
        <v>310</v>
      </c>
    </row>
    <row r="105" spans="1:10" x14ac:dyDescent="0.45">
      <c r="A105" s="2" t="b">
        <v>1</v>
      </c>
      <c r="B105" s="2" t="b">
        <v>1</v>
      </c>
      <c r="C105" s="2" t="b">
        <v>1</v>
      </c>
      <c r="D105" s="3" t="str">
        <f>HYPERLINK(PGVIM[[#This Row],[Folder Path]]&amp;PGVIM[[#This Row],[Name]], "เปิดไฟล์")</f>
        <v>เปิดไฟล์</v>
      </c>
      <c r="E105" t="s">
        <v>321</v>
      </c>
      <c r="F105" t="s">
        <v>24</v>
      </c>
      <c r="G105" s="1">
        <v>46057.575635393521</v>
      </c>
      <c r="H105" s="1">
        <v>45982.48644847222</v>
      </c>
      <c r="I105" s="1">
        <v>45982.486445694441</v>
      </c>
      <c r="J105" t="s">
        <v>322</v>
      </c>
    </row>
    <row r="106" spans="1:10" x14ac:dyDescent="0.45">
      <c r="A106" s="2" t="b">
        <v>1</v>
      </c>
      <c r="B106" s="2" t="b">
        <v>1</v>
      </c>
      <c r="C106" s="2" t="b">
        <v>1</v>
      </c>
      <c r="D106" s="3" t="str">
        <f>HYPERLINK(PGVIM[[#This Row],[Folder Path]]&amp;PGVIM[[#This Row],[Name]], "เปิดไฟล์")</f>
        <v>เปิดไฟล์</v>
      </c>
      <c r="E106" t="s">
        <v>323</v>
      </c>
      <c r="F106" t="s">
        <v>24</v>
      </c>
      <c r="G106" s="1">
        <v>46057.575635474539</v>
      </c>
      <c r="H106" s="1">
        <v>45982.486565173611</v>
      </c>
      <c r="I106" s="1">
        <v>45982.486562743055</v>
      </c>
      <c r="J106" t="s">
        <v>322</v>
      </c>
    </row>
    <row r="107" spans="1:10" x14ac:dyDescent="0.45">
      <c r="A107" s="2" t="b">
        <v>1</v>
      </c>
      <c r="B107" s="2" t="b">
        <v>1</v>
      </c>
      <c r="C107" s="2" t="b">
        <v>1</v>
      </c>
      <c r="D107" s="3" t="str">
        <f>HYPERLINK(PGVIM[[#This Row],[Folder Path]]&amp;PGVIM[[#This Row],[Name]], "เปิดไฟล์")</f>
        <v>เปิดไฟล์</v>
      </c>
      <c r="E107" t="s">
        <v>324</v>
      </c>
      <c r="F107" t="s">
        <v>24</v>
      </c>
      <c r="G107" s="1">
        <v>46057.575635428242</v>
      </c>
      <c r="H107" s="1">
        <v>45982.486671226849</v>
      </c>
      <c r="I107" s="1">
        <v>45982.486668645834</v>
      </c>
      <c r="J107" t="s">
        <v>322</v>
      </c>
    </row>
    <row r="108" spans="1:10" x14ac:dyDescent="0.45">
      <c r="A108" s="2" t="b">
        <v>1</v>
      </c>
      <c r="B108" s="2" t="b">
        <v>1</v>
      </c>
      <c r="C108" s="2" t="b">
        <v>1</v>
      </c>
      <c r="D108" s="3" t="str">
        <f>HYPERLINK(PGVIM[[#This Row],[Folder Path]]&amp;PGVIM[[#This Row],[Name]], "เปิดไฟล์")</f>
        <v>เปิดไฟล์</v>
      </c>
      <c r="E108" t="s">
        <v>370</v>
      </c>
      <c r="F108" t="s">
        <v>24</v>
      </c>
      <c r="G108" s="1">
        <v>46057.575635277775</v>
      </c>
      <c r="H108" s="1">
        <v>45993.610832141203</v>
      </c>
      <c r="I108" s="1">
        <v>45993.610828807869</v>
      </c>
      <c r="J108" t="s">
        <v>371</v>
      </c>
    </row>
    <row r="109" spans="1:10" x14ac:dyDescent="0.45">
      <c r="A109" s="2" t="b">
        <v>1</v>
      </c>
      <c r="B109" s="2" t="b">
        <v>1</v>
      </c>
      <c r="C109" s="2" t="b">
        <v>1</v>
      </c>
      <c r="D109" s="3" t="str">
        <f>HYPERLINK(PGVIM[[#This Row],[Folder Path]]&amp;PGVIM[[#This Row],[Name]], "เปิดไฟล์")</f>
        <v>เปิดไฟล์</v>
      </c>
      <c r="E109" t="s">
        <v>372</v>
      </c>
      <c r="F109" t="s">
        <v>24</v>
      </c>
      <c r="G109" s="1">
        <v>46057.575635462963</v>
      </c>
      <c r="H109" s="1">
        <v>45993.610944756947</v>
      </c>
      <c r="I109" s="1">
        <v>45993.610942083331</v>
      </c>
      <c r="J109" t="s">
        <v>371</v>
      </c>
    </row>
    <row r="110" spans="1:10" x14ac:dyDescent="0.45">
      <c r="A110" s="2" t="b">
        <v>1</v>
      </c>
      <c r="B110" s="2" t="b">
        <v>1</v>
      </c>
      <c r="C110" s="2" t="b">
        <v>1</v>
      </c>
      <c r="D110" s="3" t="str">
        <f>HYPERLINK(PGVIM[[#This Row],[Folder Path]]&amp;PGVIM[[#This Row],[Name]], "เปิดไฟล์")</f>
        <v>เปิดไฟล์</v>
      </c>
      <c r="E110" t="s">
        <v>373</v>
      </c>
      <c r="F110" t="s">
        <v>24</v>
      </c>
      <c r="G110" s="1">
        <v>46057.575635474539</v>
      </c>
      <c r="H110" s="1">
        <v>45993.611058599534</v>
      </c>
      <c r="I110" s="1">
        <v>45993.61105605324</v>
      </c>
      <c r="J110" t="s">
        <v>371</v>
      </c>
    </row>
    <row r="111" spans="1:10" x14ac:dyDescent="0.45">
      <c r="A111" s="2" t="b">
        <v>1</v>
      </c>
      <c r="B111" s="2" t="b">
        <v>1</v>
      </c>
      <c r="C111" s="2" t="b">
        <v>1</v>
      </c>
      <c r="D111" s="3" t="str">
        <f>HYPERLINK(PGVIM[[#This Row],[Folder Path]]&amp;PGVIM[[#This Row],[Name]], "เปิดไฟล์")</f>
        <v>เปิดไฟล์</v>
      </c>
      <c r="E111" t="s">
        <v>374</v>
      </c>
      <c r="F111" t="s">
        <v>24</v>
      </c>
      <c r="G111" s="1">
        <v>46057.575635486108</v>
      </c>
      <c r="H111" s="1">
        <v>45993.61130931713</v>
      </c>
      <c r="I111" s="1">
        <v>45993.611306805557</v>
      </c>
      <c r="J111" t="s">
        <v>371</v>
      </c>
    </row>
    <row r="112" spans="1:10" x14ac:dyDescent="0.45">
      <c r="A112" s="2" t="b">
        <v>1</v>
      </c>
      <c r="B112" s="2" t="b">
        <v>1</v>
      </c>
      <c r="C112" s="2" t="b">
        <v>1</v>
      </c>
      <c r="D112" s="3" t="str">
        <f>HYPERLINK(PGVIM[[#This Row],[Folder Path]]&amp;PGVIM[[#This Row],[Name]], "เปิดไฟล์")</f>
        <v>เปิดไฟล์</v>
      </c>
      <c r="E112" t="s">
        <v>375</v>
      </c>
      <c r="F112" t="s">
        <v>24</v>
      </c>
      <c r="G112" s="1">
        <v>46057.575635624999</v>
      </c>
      <c r="H112" s="1">
        <v>45995.504973240742</v>
      </c>
      <c r="I112" s="1">
        <v>45995.467729861113</v>
      </c>
      <c r="J112" t="s">
        <v>376</v>
      </c>
    </row>
    <row r="113" spans="1:10" x14ac:dyDescent="0.45">
      <c r="A113" s="2" t="b">
        <v>1</v>
      </c>
      <c r="B113" s="2" t="b">
        <v>1</v>
      </c>
      <c r="C113" s="2" t="b">
        <v>1</v>
      </c>
      <c r="D113" s="3" t="str">
        <f>HYPERLINK(PGVIM[[#This Row],[Folder Path]]&amp;PGVIM[[#This Row],[Name]], "เปิดไฟล์")</f>
        <v>เปิดไฟล์</v>
      </c>
      <c r="E113" t="s">
        <v>379</v>
      </c>
      <c r="F113" t="s">
        <v>24</v>
      </c>
      <c r="G113" s="1">
        <v>46057.575635752313</v>
      </c>
      <c r="H113" s="1">
        <v>46000.43938059028</v>
      </c>
      <c r="I113" s="1">
        <v>45999.495274270834</v>
      </c>
      <c r="J113" t="s">
        <v>380</v>
      </c>
    </row>
    <row r="114" spans="1:10" x14ac:dyDescent="0.45">
      <c r="A114" s="2" t="b">
        <v>1</v>
      </c>
      <c r="B114" s="2" t="b">
        <v>1</v>
      </c>
      <c r="C114" s="2" t="b">
        <v>1</v>
      </c>
      <c r="D114" s="3" t="str">
        <f>HYPERLINK(PGVIM[[#This Row],[Folder Path]]&amp;PGVIM[[#This Row],[Name]], "เปิดไฟล์")</f>
        <v>เปิดไฟล์</v>
      </c>
      <c r="E114" t="s">
        <v>381</v>
      </c>
      <c r="F114" t="s">
        <v>24</v>
      </c>
      <c r="G114" s="1">
        <v>46057.575635682872</v>
      </c>
      <c r="H114" s="1">
        <v>45999.472684687498</v>
      </c>
      <c r="I114" s="1">
        <v>45999.472681747684</v>
      </c>
      <c r="J114" t="s">
        <v>380</v>
      </c>
    </row>
    <row r="115" spans="1:10" x14ac:dyDescent="0.45">
      <c r="A115" s="2" t="b">
        <v>1</v>
      </c>
      <c r="B115" s="2" t="b">
        <v>1</v>
      </c>
      <c r="C115" s="2" t="b">
        <v>1</v>
      </c>
      <c r="D115" s="3" t="str">
        <f>HYPERLINK(PGVIM[[#This Row],[Folder Path]]&amp;PGVIM[[#This Row],[Name]], "เปิดไฟล์")</f>
        <v>เปิดไฟล์</v>
      </c>
      <c r="E115" t="s">
        <v>382</v>
      </c>
      <c r="F115" t="s">
        <v>24</v>
      </c>
      <c r="G115" s="1">
        <v>46057.575635868059</v>
      </c>
      <c r="H115" s="1">
        <v>46000.439330011577</v>
      </c>
      <c r="I115" s="1">
        <v>45999.493685752313</v>
      </c>
      <c r="J115" t="s">
        <v>380</v>
      </c>
    </row>
    <row r="116" spans="1:10" x14ac:dyDescent="0.45">
      <c r="A116" s="2" t="b">
        <v>1</v>
      </c>
      <c r="B116" s="2" t="b">
        <v>1</v>
      </c>
      <c r="C116" s="2" t="b">
        <v>1</v>
      </c>
      <c r="D116" s="3" t="str">
        <f>HYPERLINK(PGVIM[[#This Row],[Folder Path]]&amp;PGVIM[[#This Row],[Name]], "เปิดไฟล์")</f>
        <v>เปิดไฟล์</v>
      </c>
      <c r="E116" t="s">
        <v>383</v>
      </c>
      <c r="F116" t="s">
        <v>24</v>
      </c>
      <c r="G116" s="1">
        <v>46057.575635856483</v>
      </c>
      <c r="H116" s="1">
        <v>46000.439345300925</v>
      </c>
      <c r="I116" s="1">
        <v>45999.494196030093</v>
      </c>
      <c r="J116" t="s">
        <v>380</v>
      </c>
    </row>
    <row r="117" spans="1:10" x14ac:dyDescent="0.45">
      <c r="A117" s="2" t="b">
        <v>1</v>
      </c>
      <c r="B117" s="2" t="b">
        <v>1</v>
      </c>
      <c r="C117" s="2" t="b">
        <v>1</v>
      </c>
      <c r="D117" s="3" t="str">
        <f>HYPERLINK(PGVIM[[#This Row],[Folder Path]]&amp;PGVIM[[#This Row],[Name]], "เปิดไฟล์")</f>
        <v>เปิดไฟล์</v>
      </c>
      <c r="E117" t="s">
        <v>384</v>
      </c>
      <c r="F117" t="s">
        <v>24</v>
      </c>
      <c r="G117" s="1">
        <v>46057.575635868059</v>
      </c>
      <c r="H117" s="1">
        <v>46000.439362280093</v>
      </c>
      <c r="I117" s="1">
        <v>45999.494933159724</v>
      </c>
      <c r="J117" t="s">
        <v>380</v>
      </c>
    </row>
    <row r="118" spans="1:10" x14ac:dyDescent="0.45">
      <c r="A118" s="2" t="b">
        <v>1</v>
      </c>
      <c r="B118" s="2" t="b">
        <v>1</v>
      </c>
      <c r="C118" s="2" t="b">
        <v>1</v>
      </c>
      <c r="D118" s="3" t="str">
        <f>HYPERLINK(PGVIM[[#This Row],[Folder Path]]&amp;PGVIM[[#This Row],[Name]], "เปิดไฟล์")</f>
        <v>เปิดไฟล์</v>
      </c>
      <c r="E118" t="s">
        <v>385</v>
      </c>
      <c r="F118" t="s">
        <v>24</v>
      </c>
      <c r="G118" s="1">
        <v>46057.575635925925</v>
      </c>
      <c r="H118" s="1">
        <v>45999.578391388888</v>
      </c>
      <c r="I118" s="1">
        <v>45999.578388159724</v>
      </c>
      <c r="J118" t="s">
        <v>380</v>
      </c>
    </row>
    <row r="119" spans="1:10" x14ac:dyDescent="0.45">
      <c r="A119" s="2" t="b">
        <v>1</v>
      </c>
      <c r="B119" s="2" t="b">
        <v>1</v>
      </c>
      <c r="C119" s="2" t="b">
        <v>1</v>
      </c>
      <c r="D119" s="3" t="str">
        <f>HYPERLINK(PGVIM[[#This Row],[Folder Path]]&amp;PGVIM[[#This Row],[Name]], "เปิดไฟล์")</f>
        <v>เปิดไฟล์</v>
      </c>
      <c r="E119" t="s">
        <v>386</v>
      </c>
      <c r="F119" t="s">
        <v>24</v>
      </c>
      <c r="G119" s="1">
        <v>46057.575636064816</v>
      </c>
      <c r="H119" s="1">
        <v>45999.579445000003</v>
      </c>
      <c r="I119" s="1">
        <v>45999.579441666669</v>
      </c>
      <c r="J119" t="s">
        <v>380</v>
      </c>
    </row>
    <row r="120" spans="1:10" x14ac:dyDescent="0.45">
      <c r="A120" s="2" t="b">
        <v>1</v>
      </c>
      <c r="B120" s="2" t="b">
        <v>1</v>
      </c>
      <c r="C120" s="2" t="b">
        <v>1</v>
      </c>
      <c r="D120" s="3" t="str">
        <f>HYPERLINK(PGVIM[[#This Row],[Folder Path]]&amp;PGVIM[[#This Row],[Name]], "เปิดไฟล์")</f>
        <v>เปิดไฟล์</v>
      </c>
      <c r="E120" t="s">
        <v>387</v>
      </c>
      <c r="F120" t="s">
        <v>24</v>
      </c>
      <c r="G120" s="1">
        <v>46057.575635925925</v>
      </c>
      <c r="H120" s="1">
        <v>46000.692932997685</v>
      </c>
      <c r="I120" s="1">
        <v>46000.692928750002</v>
      </c>
      <c r="J120" t="s">
        <v>388</v>
      </c>
    </row>
    <row r="121" spans="1:10" x14ac:dyDescent="0.45">
      <c r="A121" s="2" t="b">
        <v>1</v>
      </c>
      <c r="B121" s="2" t="b">
        <v>0</v>
      </c>
      <c r="C121" s="2" t="b">
        <v>1</v>
      </c>
      <c r="D121" s="3" t="str">
        <f>HYPERLINK(PGVIM[[#This Row],[Folder Path]]&amp;PGVIM[[#This Row],[Name]], "เปิดไฟล์")</f>
        <v>เปิดไฟล์</v>
      </c>
      <c r="E121" t="s">
        <v>389</v>
      </c>
      <c r="F121" t="s">
        <v>24</v>
      </c>
      <c r="G121" s="1">
        <v>46057.57563608796</v>
      </c>
      <c r="H121" s="1">
        <v>46002.443583576387</v>
      </c>
      <c r="I121" s="1">
        <v>46002.426517719905</v>
      </c>
      <c r="J121" t="s">
        <v>390</v>
      </c>
    </row>
    <row r="122" spans="1:10" x14ac:dyDescent="0.45">
      <c r="A122" s="2" t="b">
        <v>1</v>
      </c>
      <c r="B122" s="2" t="b">
        <v>0</v>
      </c>
      <c r="C122" s="2" t="b">
        <v>1</v>
      </c>
      <c r="D122" s="3" t="str">
        <f>HYPERLINK(PGVIM[[#This Row],[Folder Path]]&amp;PGVIM[[#This Row],[Name]], "เปิดไฟล์")</f>
        <v>เปิดไฟล์</v>
      </c>
      <c r="E122" t="s">
        <v>391</v>
      </c>
      <c r="F122" t="s">
        <v>24</v>
      </c>
      <c r="G122" s="1">
        <v>46057.57563608796</v>
      </c>
      <c r="H122" s="1">
        <v>46002.443287453701</v>
      </c>
      <c r="I122" s="1">
        <v>46002.426700011572</v>
      </c>
      <c r="J122" t="s">
        <v>390</v>
      </c>
    </row>
    <row r="123" spans="1:10" x14ac:dyDescent="0.45">
      <c r="A123" s="2" t="b">
        <v>1</v>
      </c>
      <c r="B123" s="2" t="b">
        <v>0</v>
      </c>
      <c r="C123" s="2" t="b">
        <v>1</v>
      </c>
      <c r="D123" s="3" t="str">
        <f>HYPERLINK(PGVIM[[#This Row],[Folder Path]]&amp;PGVIM[[#This Row],[Name]], "เปิดไฟล์")</f>
        <v>เปิดไฟล์</v>
      </c>
      <c r="E123" t="s">
        <v>392</v>
      </c>
      <c r="F123" t="s">
        <v>24</v>
      </c>
      <c r="G123" s="1">
        <v>46057.575636145833</v>
      </c>
      <c r="H123" s="1">
        <v>46002.443616041666</v>
      </c>
      <c r="I123" s="1">
        <v>46002.4269093287</v>
      </c>
      <c r="J123" t="s">
        <v>390</v>
      </c>
    </row>
    <row r="124" spans="1:10" x14ac:dyDescent="0.45">
      <c r="A124" s="2" t="b">
        <v>1</v>
      </c>
      <c r="B124" s="2" t="b">
        <v>0</v>
      </c>
      <c r="C124" s="2" t="b">
        <v>1</v>
      </c>
      <c r="D124" s="3" t="str">
        <f>HYPERLINK(PGVIM[[#This Row],[Folder Path]]&amp;PGVIM[[#This Row],[Name]], "เปิดไฟล์")</f>
        <v>เปิดไฟล์</v>
      </c>
      <c r="E124" t="s">
        <v>393</v>
      </c>
      <c r="F124" t="s">
        <v>24</v>
      </c>
      <c r="G124" s="1">
        <v>46057.575636215275</v>
      </c>
      <c r="H124" s="1">
        <v>46002.443113240741</v>
      </c>
      <c r="I124" s="1">
        <v>46002.427137164355</v>
      </c>
      <c r="J124" t="s">
        <v>390</v>
      </c>
    </row>
    <row r="125" spans="1:10" s="12" customFormat="1" x14ac:dyDescent="0.45">
      <c r="A125" s="5" t="b">
        <v>1</v>
      </c>
      <c r="B125" s="5" t="b">
        <v>1</v>
      </c>
      <c r="C125" s="5" t="b">
        <v>0</v>
      </c>
      <c r="D125" s="6" t="str">
        <f>HYPERLINK(PGVIM[[#This Row],[Folder Path]]&amp;PGVIM[[#This Row],[Name]], "เปิดไฟล์")</f>
        <v>เปิดไฟล์</v>
      </c>
      <c r="E125" s="12" t="s">
        <v>398</v>
      </c>
      <c r="F125" s="12" t="s">
        <v>24</v>
      </c>
      <c r="G125" s="13">
        <v>46099.595634039353</v>
      </c>
      <c r="H125" s="13">
        <v>46007.654998148151</v>
      </c>
      <c r="I125" s="13">
        <v>46007.460202060189</v>
      </c>
      <c r="J125" s="12" t="s">
        <v>399</v>
      </c>
    </row>
    <row r="126" spans="1:10" s="12" customFormat="1" x14ac:dyDescent="0.45">
      <c r="A126" s="5" t="b">
        <v>1</v>
      </c>
      <c r="B126" s="5" t="b">
        <v>1</v>
      </c>
      <c r="C126" s="5" t="b">
        <v>0</v>
      </c>
      <c r="D126" s="6" t="str">
        <f>HYPERLINK(PGVIM[[#This Row],[Folder Path]]&amp;PGVIM[[#This Row],[Name]], "เปิดไฟล์")</f>
        <v>เปิดไฟล์</v>
      </c>
      <c r="E126" s="12" t="s">
        <v>400</v>
      </c>
      <c r="F126" s="12" t="s">
        <v>24</v>
      </c>
      <c r="G126" s="13">
        <v>46057.57563619213</v>
      </c>
      <c r="H126" s="13">
        <v>46010.778663333331</v>
      </c>
      <c r="I126" s="13">
        <v>46007.460537384257</v>
      </c>
      <c r="J126" s="12" t="s">
        <v>399</v>
      </c>
    </row>
    <row r="127" spans="1:10" s="12" customFormat="1" x14ac:dyDescent="0.45">
      <c r="A127" s="5" t="b">
        <v>1</v>
      </c>
      <c r="B127" s="5" t="b">
        <v>1</v>
      </c>
      <c r="C127" s="5" t="b">
        <v>0</v>
      </c>
      <c r="D127" s="6" t="str">
        <f>HYPERLINK(PGVIM[[#This Row],[Folder Path]]&amp;PGVIM[[#This Row],[Name]], "เปิดไฟล์")</f>
        <v>เปิดไฟล์</v>
      </c>
      <c r="E127" s="12" t="s">
        <v>401</v>
      </c>
      <c r="F127" s="12" t="s">
        <v>24</v>
      </c>
      <c r="G127" s="13">
        <v>46099.596227060189</v>
      </c>
      <c r="H127" s="13">
        <v>46013.470284270836</v>
      </c>
      <c r="I127" s="13">
        <v>46013.470281805552</v>
      </c>
      <c r="J127" s="12" t="s">
        <v>402</v>
      </c>
    </row>
    <row r="128" spans="1:10" x14ac:dyDescent="0.45">
      <c r="A128" s="2" t="b">
        <v>1</v>
      </c>
      <c r="B128" s="2" t="b">
        <v>1</v>
      </c>
      <c r="C128" s="2" t="b">
        <v>1</v>
      </c>
      <c r="D128" s="3" t="str">
        <f>HYPERLINK(PGVIM[[#This Row],[Folder Path]]&amp;PGVIM[[#This Row],[Name]], "เปิดไฟล์")</f>
        <v>เปิดไฟล์</v>
      </c>
      <c r="E128" t="s">
        <v>403</v>
      </c>
      <c r="F128" t="s">
        <v>24</v>
      </c>
      <c r="G128" s="1">
        <v>46057.575636215275</v>
      </c>
      <c r="H128" s="1">
        <v>46013.470534583335</v>
      </c>
      <c r="I128" s="1">
        <v>46013.470532106483</v>
      </c>
      <c r="J128" t="s">
        <v>402</v>
      </c>
    </row>
    <row r="129" spans="1:10" x14ac:dyDescent="0.45">
      <c r="A129" s="2" t="b">
        <v>0</v>
      </c>
      <c r="B129" s="2" t="b">
        <v>1</v>
      </c>
      <c r="C129" s="2" t="b">
        <v>1</v>
      </c>
      <c r="D129" s="3" t="str">
        <f>HYPERLINK(PGVIM[[#This Row],[Folder Path]]&amp;PGVIM[[#This Row],[Name]], "เปิดไฟล์")</f>
        <v>เปิดไฟล์</v>
      </c>
      <c r="E129" t="s">
        <v>415</v>
      </c>
      <c r="F129" t="s">
        <v>24</v>
      </c>
      <c r="G129" s="1">
        <v>46057.575636307869</v>
      </c>
      <c r="H129" s="1">
        <v>46029.637003263888</v>
      </c>
      <c r="I129" s="1">
        <v>46029.635171307869</v>
      </c>
      <c r="J129" t="s">
        <v>416</v>
      </c>
    </row>
    <row r="130" spans="1:10" x14ac:dyDescent="0.45">
      <c r="A130" s="2" t="b">
        <v>0</v>
      </c>
      <c r="B130" s="2" t="b">
        <v>1</v>
      </c>
      <c r="C130" s="2" t="b">
        <v>1</v>
      </c>
      <c r="D130" s="3" t="str">
        <f>HYPERLINK(PGVIM[[#This Row],[Folder Path]]&amp;PGVIM[[#This Row],[Name]], "เปิดไฟล์")</f>
        <v>เปิดไฟล์</v>
      </c>
      <c r="E130" t="s">
        <v>422</v>
      </c>
      <c r="F130" t="s">
        <v>24</v>
      </c>
      <c r="G130" s="1">
        <v>46057.575636516201</v>
      </c>
      <c r="H130" s="1">
        <v>46045.888159270835</v>
      </c>
      <c r="I130" s="1">
        <v>46045.888156250003</v>
      </c>
      <c r="J130" t="s">
        <v>423</v>
      </c>
    </row>
    <row r="131" spans="1:10" x14ac:dyDescent="0.45">
      <c r="A131" s="2" t="b">
        <v>0</v>
      </c>
      <c r="B131" s="2" t="b">
        <v>1</v>
      </c>
      <c r="C131" s="2" t="b">
        <v>1</v>
      </c>
      <c r="D131" s="3" t="str">
        <f>HYPERLINK(PGVIM[[#This Row],[Folder Path]]&amp;PGVIM[[#This Row],[Name]], "เปิดไฟล์")</f>
        <v>เปิดไฟล์</v>
      </c>
      <c r="E131" t="s">
        <v>424</v>
      </c>
      <c r="F131" t="s">
        <v>24</v>
      </c>
      <c r="G131" s="1">
        <v>46057.575636597219</v>
      </c>
      <c r="H131" s="1">
        <v>46045.888378321761</v>
      </c>
      <c r="I131" s="1">
        <v>46045.888375625</v>
      </c>
      <c r="J131" t="s">
        <v>423</v>
      </c>
    </row>
    <row r="132" spans="1:10" x14ac:dyDescent="0.45">
      <c r="A132" s="2" t="b">
        <v>0</v>
      </c>
      <c r="B132" s="2" t="b">
        <v>1</v>
      </c>
      <c r="C132" s="2" t="b">
        <v>1</v>
      </c>
      <c r="D132" s="3" t="str">
        <f>HYPERLINK(PGVIM[[#This Row],[Folder Path]]&amp;PGVIM[[#This Row],[Name]], "เปิดไฟล์")</f>
        <v>เปิดไฟล์</v>
      </c>
      <c r="E132" t="s">
        <v>425</v>
      </c>
      <c r="F132" t="s">
        <v>24</v>
      </c>
      <c r="G132" s="1">
        <v>46057.575636608795</v>
      </c>
      <c r="H132" s="1">
        <v>46045.888528009258</v>
      </c>
      <c r="I132" s="1">
        <v>46045.888525300928</v>
      </c>
      <c r="J132" t="s">
        <v>423</v>
      </c>
    </row>
    <row r="133" spans="1:10" x14ac:dyDescent="0.45">
      <c r="A133" s="2" t="b">
        <v>0</v>
      </c>
      <c r="B133" s="2" t="b">
        <v>0</v>
      </c>
      <c r="C133" s="2" t="b">
        <v>1</v>
      </c>
      <c r="D133" s="3" t="str">
        <f>HYPERLINK(PGVIM[[#This Row],[Folder Path]]&amp;PGVIM[[#This Row],[Name]], "เปิดไฟล์")</f>
        <v>เปิดไฟล์</v>
      </c>
      <c r="E133" t="s">
        <v>429</v>
      </c>
      <c r="F133" t="s">
        <v>24</v>
      </c>
      <c r="G133" s="1">
        <v>46057.575636423608</v>
      </c>
      <c r="H133" s="1">
        <v>46057.454931481479</v>
      </c>
      <c r="I133" s="1">
        <v>46057.45492384259</v>
      </c>
      <c r="J133" t="s">
        <v>430</v>
      </c>
    </row>
    <row r="134" spans="1:10" x14ac:dyDescent="0.45">
      <c r="A134" s="2" t="b">
        <v>0</v>
      </c>
      <c r="B134" s="2" t="b">
        <v>1</v>
      </c>
      <c r="C134" s="2" t="b">
        <v>1</v>
      </c>
      <c r="D134" s="3" t="str">
        <f>HYPERLINK(PGVIM[[#This Row],[Folder Path]]&amp;PGVIM[[#This Row],[Name]], "เปิดไฟล์")</f>
        <v>เปิดไฟล์</v>
      </c>
      <c r="E134" t="s">
        <v>434</v>
      </c>
      <c r="F134" t="s">
        <v>24</v>
      </c>
      <c r="G134" s="1">
        <v>46101.691630555557</v>
      </c>
      <c r="H134" s="1">
        <v>46059.434912766206</v>
      </c>
      <c r="I134" s="1">
        <v>46059.434910370372</v>
      </c>
      <c r="J134" t="s">
        <v>435</v>
      </c>
    </row>
    <row r="135" spans="1:10" x14ac:dyDescent="0.45">
      <c r="A135" s="2" t="b">
        <v>0</v>
      </c>
      <c r="B135" s="2" t="b">
        <v>1</v>
      </c>
      <c r="C135" s="2" t="b">
        <v>1</v>
      </c>
      <c r="D135" s="3" t="str">
        <f>HYPERLINK(PGVIM[[#This Row],[Folder Path]]&amp;PGVIM[[#This Row],[Name]], "เปิดไฟล์")</f>
        <v>เปิดไฟล์</v>
      </c>
      <c r="E135" t="s">
        <v>436</v>
      </c>
      <c r="F135" t="s">
        <v>24</v>
      </c>
      <c r="G135" s="1">
        <v>46101.692544375001</v>
      </c>
      <c r="H135" s="1">
        <v>46059.435194293983</v>
      </c>
      <c r="I135" s="1">
        <v>46059.435191932869</v>
      </c>
      <c r="J135" t="s">
        <v>435</v>
      </c>
    </row>
    <row r="136" spans="1:10" x14ac:dyDescent="0.45">
      <c r="A136" s="2" t="b">
        <v>0</v>
      </c>
      <c r="B136" s="2" t="b">
        <v>1</v>
      </c>
      <c r="C136" s="2" t="b">
        <v>1</v>
      </c>
      <c r="D136" s="3" t="str">
        <f>HYPERLINK(PGVIM[[#This Row],[Folder Path]]&amp;PGVIM[[#This Row],[Name]], "เปิดไฟล์")</f>
        <v>เปิดไฟล์</v>
      </c>
      <c r="E136" t="s">
        <v>548</v>
      </c>
      <c r="F136" t="s">
        <v>24</v>
      </c>
      <c r="G136" s="1">
        <v>46105.666425439813</v>
      </c>
      <c r="H136" s="1">
        <v>46099.690579386574</v>
      </c>
      <c r="I136" s="1">
        <v>46099.690573668981</v>
      </c>
      <c r="J136" t="s">
        <v>549</v>
      </c>
    </row>
    <row r="137" spans="1:10" x14ac:dyDescent="0.45">
      <c r="A137" s="2" t="b">
        <v>0</v>
      </c>
      <c r="B137" s="2" t="b">
        <v>1</v>
      </c>
      <c r="C137" s="2" t="b">
        <v>0</v>
      </c>
      <c r="D137" s="3" t="str">
        <f>HYPERLINK(PGVIM[[#This Row],[Folder Path]]&amp;PGVIM[[#This Row],[Name]], "เปิดไฟล์")</f>
        <v>เปิดไฟล์</v>
      </c>
      <c r="E137" t="s">
        <v>550</v>
      </c>
      <c r="F137" t="s">
        <v>24</v>
      </c>
      <c r="G137" s="1">
        <v>46105.668759942128</v>
      </c>
      <c r="H137" s="1">
        <v>46101.700853541668</v>
      </c>
      <c r="I137" s="1">
        <v>46100.446418888889</v>
      </c>
      <c r="J137" t="s">
        <v>549</v>
      </c>
    </row>
    <row r="138" spans="1:10" x14ac:dyDescent="0.45">
      <c r="A138" s="2" t="b">
        <v>0</v>
      </c>
      <c r="B138" s="2" t="b">
        <v>1</v>
      </c>
      <c r="C138" s="2" t="b">
        <v>0</v>
      </c>
      <c r="D138" s="3" t="str">
        <f>HYPERLINK(PGVIM[[#This Row],[Folder Path]]&amp;PGVIM[[#This Row],[Name]], "เปิดไฟล์")</f>
        <v>เปิดไฟล์</v>
      </c>
      <c r="E138" t="s">
        <v>551</v>
      </c>
      <c r="F138" t="s">
        <v>24</v>
      </c>
      <c r="G138" s="1">
        <v>46100.46448263889</v>
      </c>
      <c r="H138" s="1">
        <v>46100.46448263889</v>
      </c>
      <c r="I138" s="1">
        <v>46100.46447890046</v>
      </c>
      <c r="J138" t="s">
        <v>549</v>
      </c>
    </row>
    <row r="139" spans="1:10" x14ac:dyDescent="0.45">
      <c r="A139" s="2" t="b">
        <v>0</v>
      </c>
      <c r="B139" s="2" t="b">
        <v>1</v>
      </c>
      <c r="C139" s="2" t="b">
        <v>0</v>
      </c>
      <c r="D139" s="3" t="str">
        <f>HYPERLINK(PGVIM[[#This Row],[Folder Path]]&amp;PGVIM[[#This Row],[Name]], "เปิดไฟล์")</f>
        <v>เปิดไฟล์</v>
      </c>
      <c r="E139" t="s">
        <v>552</v>
      </c>
      <c r="F139" t="s">
        <v>24</v>
      </c>
      <c r="G139" s="1">
        <v>46104.666379016206</v>
      </c>
      <c r="H139" s="1">
        <v>46104.666379016206</v>
      </c>
      <c r="I139" s="1">
        <v>46104.666373912034</v>
      </c>
      <c r="J139" t="s">
        <v>553</v>
      </c>
    </row>
    <row r="140" spans="1:10" x14ac:dyDescent="0.45">
      <c r="A140" s="2" t="b">
        <v>0</v>
      </c>
      <c r="B140" s="2" t="b">
        <v>1</v>
      </c>
      <c r="C140" s="2" t="b">
        <v>0</v>
      </c>
      <c r="D140" s="3" t="str">
        <f>HYPERLINK(PGVIM[[#This Row],[Folder Path]]&amp;PGVIM[[#This Row],[Name]], "เปิดไฟล์")</f>
        <v>เปิดไฟล์</v>
      </c>
      <c r="E140" t="s">
        <v>554</v>
      </c>
      <c r="F140" t="s">
        <v>24</v>
      </c>
      <c r="G140" s="1">
        <v>46104.666548020832</v>
      </c>
      <c r="H140" s="1">
        <v>46104.666548020832</v>
      </c>
      <c r="I140" s="1">
        <v>46104.666543703701</v>
      </c>
      <c r="J140" t="s">
        <v>553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27E6-5908-40B5-94F8-6AC75F836619}">
  <sheetPr>
    <tabColor rgb="FF7030A0"/>
  </sheetPr>
  <dimension ref="A1:K94"/>
  <sheetViews>
    <sheetView workbookViewId="0">
      <pane ySplit="1" topLeftCell="A72" activePane="bottomLeft" state="frozen"/>
      <selection pane="bottomLeft" activeCell="C91" sqref="C91"/>
    </sheetView>
  </sheetViews>
  <sheetFormatPr defaultRowHeight="16.5" x14ac:dyDescent="0.45"/>
  <cols>
    <col min="6" max="6" width="78.6640625" bestFit="1" customWidth="1"/>
    <col min="7" max="7" width="11.33203125" bestFit="1" customWidth="1"/>
    <col min="8" max="8" width="15.33203125" bestFit="1" customWidth="1"/>
    <col min="9" max="9" width="15.4140625" bestFit="1" customWidth="1"/>
    <col min="10" max="10" width="15.25" bestFit="1" customWidth="1"/>
    <col min="11" max="11" width="53.75" bestFit="1" customWidth="1"/>
  </cols>
  <sheetData>
    <row r="1" spans="1:11" x14ac:dyDescent="0.45">
      <c r="A1" s="4" t="s">
        <v>21</v>
      </c>
      <c r="B1" s="4" t="s">
        <v>22</v>
      </c>
      <c r="C1" s="4" t="s">
        <v>23</v>
      </c>
      <c r="D1" s="4" t="s">
        <v>417</v>
      </c>
      <c r="E1" s="4"/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11" x14ac:dyDescent="0.45">
      <c r="A2" s="2" t="b">
        <v>1</v>
      </c>
      <c r="B2" s="2" t="b">
        <v>1</v>
      </c>
      <c r="C2" s="2" t="b">
        <v>0</v>
      </c>
      <c r="D2" s="2" t="b">
        <v>0</v>
      </c>
      <c r="E2" s="3" t="str">
        <f>HYPERLINK(ICCS[[#This Row],[Folder Path]]&amp;ICCS[[#This Row],[Name]], "เปิดไฟล์")</f>
        <v>เปิดไฟล์</v>
      </c>
      <c r="F2" t="s">
        <v>70</v>
      </c>
      <c r="G2" t="s">
        <v>24</v>
      </c>
      <c r="H2" s="1">
        <v>46057.575625798614</v>
      </c>
      <c r="I2" s="1">
        <v>45944.501315358793</v>
      </c>
      <c r="J2" s="1">
        <v>45915.531589027778</v>
      </c>
      <c r="K2" t="s">
        <v>75</v>
      </c>
    </row>
    <row r="3" spans="1:11" x14ac:dyDescent="0.45">
      <c r="A3" s="2" t="b">
        <v>1</v>
      </c>
      <c r="B3" s="2" t="b">
        <v>1</v>
      </c>
      <c r="C3" s="2" t="b">
        <v>0</v>
      </c>
      <c r="D3" s="2" t="b">
        <v>0</v>
      </c>
      <c r="E3" s="3" t="str">
        <f>HYPERLINK(ICCS[[#This Row],[Folder Path]]&amp;ICCS[[#This Row],[Name]], "เปิดไฟล์")</f>
        <v>เปิดไฟล์</v>
      </c>
      <c r="F3" t="s">
        <v>76</v>
      </c>
      <c r="G3" t="s">
        <v>24</v>
      </c>
      <c r="H3" s="1">
        <v>46057.57562585648</v>
      </c>
      <c r="I3" s="1">
        <v>45915.576061006941</v>
      </c>
      <c r="J3" s="1">
        <v>45915.576058009261</v>
      </c>
      <c r="K3" t="s">
        <v>79</v>
      </c>
    </row>
    <row r="4" spans="1:11" x14ac:dyDescent="0.45">
      <c r="A4" s="2" t="b">
        <v>1</v>
      </c>
      <c r="B4" s="2" t="b">
        <v>1</v>
      </c>
      <c r="C4" s="2" t="b">
        <v>0</v>
      </c>
      <c r="D4" s="2" t="b">
        <v>0</v>
      </c>
      <c r="E4" s="3" t="str">
        <f>HYPERLINK(ICCS[[#This Row],[Folder Path]]&amp;ICCS[[#This Row],[Name]], "เปิดไฟล์")</f>
        <v>เปิดไฟล์</v>
      </c>
      <c r="F4" t="s">
        <v>88</v>
      </c>
      <c r="G4" t="s">
        <v>24</v>
      </c>
      <c r="H4" s="1">
        <v>46057.575625914353</v>
      </c>
      <c r="I4" s="1">
        <v>45917.469821192128</v>
      </c>
      <c r="J4" s="1">
        <v>45917.470017835651</v>
      </c>
      <c r="K4" t="s">
        <v>91</v>
      </c>
    </row>
    <row r="5" spans="1:11" x14ac:dyDescent="0.45">
      <c r="A5" s="2" t="b">
        <v>1</v>
      </c>
      <c r="B5" s="2" t="b">
        <v>1</v>
      </c>
      <c r="C5" s="2" t="b">
        <v>0</v>
      </c>
      <c r="D5" s="2" t="b">
        <v>0</v>
      </c>
      <c r="E5" s="3" t="str">
        <f>HYPERLINK(ICCS[[#This Row],[Folder Path]]&amp;ICCS[[#This Row],[Name]], "เปิดไฟล์")</f>
        <v>เปิดไฟล์</v>
      </c>
      <c r="F5" t="s">
        <v>100</v>
      </c>
      <c r="G5" t="s">
        <v>24</v>
      </c>
      <c r="H5" s="1">
        <v>46057.575625902777</v>
      </c>
      <c r="I5" s="1">
        <v>45923.574870312499</v>
      </c>
      <c r="J5" s="1">
        <v>45923.575090555554</v>
      </c>
      <c r="K5" t="s">
        <v>103</v>
      </c>
    </row>
    <row r="6" spans="1:11" x14ac:dyDescent="0.45">
      <c r="A6" s="2" t="b">
        <v>1</v>
      </c>
      <c r="B6" s="2" t="b">
        <v>1</v>
      </c>
      <c r="C6" s="2" t="b">
        <v>0</v>
      </c>
      <c r="D6" s="2" t="b">
        <v>0</v>
      </c>
      <c r="E6" s="3" t="str">
        <f>HYPERLINK(ICCS[[#This Row],[Folder Path]]&amp;ICCS[[#This Row],[Name]], "เปิดไฟล์")</f>
        <v>เปิดไฟล์</v>
      </c>
      <c r="F6" t="s">
        <v>115</v>
      </c>
      <c r="G6" t="s">
        <v>24</v>
      </c>
      <c r="H6" s="1">
        <v>46057.575626041667</v>
      </c>
      <c r="I6" s="1">
        <v>45939.524268564812</v>
      </c>
      <c r="J6" s="1">
        <v>45939.564502777779</v>
      </c>
      <c r="K6" t="s">
        <v>118</v>
      </c>
    </row>
    <row r="7" spans="1:11" x14ac:dyDescent="0.45">
      <c r="A7" s="2" t="b">
        <v>1</v>
      </c>
      <c r="B7" s="2" t="b">
        <v>1</v>
      </c>
      <c r="C7" s="2" t="b">
        <v>0</v>
      </c>
      <c r="D7" s="2" t="b">
        <v>0</v>
      </c>
      <c r="E7" s="3" t="str">
        <f>HYPERLINK(ICCS[[#This Row],[Folder Path]]&amp;ICCS[[#This Row],[Name]], "เปิดไฟล์")</f>
        <v>เปิดไฟล์</v>
      </c>
      <c r="F7" t="s">
        <v>201</v>
      </c>
      <c r="G7" t="s">
        <v>24</v>
      </c>
      <c r="H7" s="1">
        <v>46057.575625925929</v>
      </c>
      <c r="I7" s="1">
        <v>45958.398557037035</v>
      </c>
      <c r="J7" s="1">
        <v>45957.682149918983</v>
      </c>
      <c r="K7" t="s">
        <v>202</v>
      </c>
    </row>
    <row r="8" spans="1:11" x14ac:dyDescent="0.45">
      <c r="A8" s="2" t="b">
        <v>1</v>
      </c>
      <c r="B8" s="2" t="b">
        <v>1</v>
      </c>
      <c r="C8" s="2" t="b">
        <v>0</v>
      </c>
      <c r="D8" s="2" t="b">
        <v>0</v>
      </c>
      <c r="E8" s="3" t="str">
        <f>HYPERLINK(ICCS[[#This Row],[Folder Path]]&amp;ICCS[[#This Row],[Name]], "เปิดไฟล์")</f>
        <v>เปิดไฟล์</v>
      </c>
      <c r="F8" t="s">
        <v>203</v>
      </c>
      <c r="G8" t="s">
        <v>24</v>
      </c>
      <c r="H8" s="1">
        <v>46057.575626087964</v>
      </c>
      <c r="I8" s="1">
        <v>45958.398341481479</v>
      </c>
      <c r="J8" s="1">
        <v>45957.704441238428</v>
      </c>
      <c r="K8" t="s">
        <v>202</v>
      </c>
    </row>
    <row r="9" spans="1:11" x14ac:dyDescent="0.45">
      <c r="A9" s="2" t="b">
        <v>1</v>
      </c>
      <c r="B9" s="2" t="b">
        <v>1</v>
      </c>
      <c r="C9" s="2" t="b">
        <v>0</v>
      </c>
      <c r="D9" s="2" t="b">
        <v>0</v>
      </c>
      <c r="E9" s="3" t="str">
        <f>HYPERLINK(ICCS[[#This Row],[Folder Path]]&amp;ICCS[[#This Row],[Name]], "เปิดไฟล์")</f>
        <v>เปิดไฟล์</v>
      </c>
      <c r="F9" t="s">
        <v>204</v>
      </c>
      <c r="G9" t="s">
        <v>24</v>
      </c>
      <c r="H9" s="1">
        <v>46057.575626134261</v>
      </c>
      <c r="I9" s="1">
        <v>45958.397936620371</v>
      </c>
      <c r="J9" s="1">
        <v>45957.704618229167</v>
      </c>
      <c r="K9" t="s">
        <v>202</v>
      </c>
    </row>
    <row r="10" spans="1:11" x14ac:dyDescent="0.45">
      <c r="A10" s="2" t="b">
        <v>1</v>
      </c>
      <c r="B10" s="2" t="b">
        <v>1</v>
      </c>
      <c r="C10" s="2" t="b">
        <v>0</v>
      </c>
      <c r="D10" s="2" t="b">
        <v>0</v>
      </c>
      <c r="E10" s="3" t="str">
        <f>HYPERLINK(ICCS[[#This Row],[Folder Path]]&amp;ICCS[[#This Row],[Name]], "เปิดไฟล์")</f>
        <v>เปิดไฟล์</v>
      </c>
      <c r="F10" t="s">
        <v>205</v>
      </c>
      <c r="G10" t="s">
        <v>24</v>
      </c>
      <c r="H10" s="1">
        <v>46057.575626180558</v>
      </c>
      <c r="I10" s="1">
        <v>45958.398151099536</v>
      </c>
      <c r="J10" s="1">
        <v>45957.704761678244</v>
      </c>
      <c r="K10" t="s">
        <v>202</v>
      </c>
    </row>
    <row r="11" spans="1:11" x14ac:dyDescent="0.45">
      <c r="A11" s="2" t="b">
        <v>1</v>
      </c>
      <c r="B11" s="2" t="b">
        <v>1</v>
      </c>
      <c r="C11" s="2" t="b">
        <v>0</v>
      </c>
      <c r="D11" s="2" t="b">
        <v>0</v>
      </c>
      <c r="E11" s="3" t="str">
        <f>HYPERLINK(ICCS[[#This Row],[Folder Path]]&amp;ICCS[[#This Row],[Name]], "เปิดไฟล์")</f>
        <v>เปิดไฟล์</v>
      </c>
      <c r="F11" t="s">
        <v>219</v>
      </c>
      <c r="G11" t="s">
        <v>24</v>
      </c>
      <c r="H11" s="1">
        <v>46057.575626203703</v>
      </c>
      <c r="I11" s="1">
        <v>45964.697846747687</v>
      </c>
      <c r="J11" s="1">
        <v>45964.69784306713</v>
      </c>
      <c r="K11" t="s">
        <v>220</v>
      </c>
    </row>
    <row r="12" spans="1:11" x14ac:dyDescent="0.45">
      <c r="A12" s="2" t="b">
        <v>1</v>
      </c>
      <c r="B12" s="2" t="b">
        <v>1</v>
      </c>
      <c r="C12" s="2" t="b">
        <v>0</v>
      </c>
      <c r="D12" s="2" t="b">
        <v>0</v>
      </c>
      <c r="E12" s="3" t="str">
        <f>HYPERLINK(ICCS[[#This Row],[Folder Path]]&amp;ICCS[[#This Row],[Name]], "เปิดไฟล์")</f>
        <v>เปิดไฟล์</v>
      </c>
      <c r="F12" t="s">
        <v>221</v>
      </c>
      <c r="G12" t="s">
        <v>24</v>
      </c>
      <c r="H12" s="1">
        <v>46057.575626203703</v>
      </c>
      <c r="I12" s="1">
        <v>45964.698165069443</v>
      </c>
      <c r="J12" s="1">
        <v>45964.698161365741</v>
      </c>
      <c r="K12" t="s">
        <v>220</v>
      </c>
    </row>
    <row r="13" spans="1:11" x14ac:dyDescent="0.45">
      <c r="A13" s="2" t="b">
        <v>1</v>
      </c>
      <c r="B13" s="2" t="b">
        <v>1</v>
      </c>
      <c r="C13" s="2" t="b">
        <v>0</v>
      </c>
      <c r="D13" s="2" t="b">
        <v>0</v>
      </c>
      <c r="E13" s="3" t="str">
        <f>HYPERLINK(ICCS[[#This Row],[Folder Path]]&amp;ICCS[[#This Row],[Name]], "เปิดไฟล์")</f>
        <v>เปิดไฟล์</v>
      </c>
      <c r="F13" t="s">
        <v>222</v>
      </c>
      <c r="G13" t="s">
        <v>24</v>
      </c>
      <c r="H13" s="1">
        <v>46057.575626203703</v>
      </c>
      <c r="I13" s="1">
        <v>45964.727551747688</v>
      </c>
      <c r="J13" s="1">
        <v>45964.698281087964</v>
      </c>
      <c r="K13" t="s">
        <v>220</v>
      </c>
    </row>
    <row r="14" spans="1:11" x14ac:dyDescent="0.45">
      <c r="A14" s="2" t="b">
        <v>1</v>
      </c>
      <c r="B14" s="2" t="b">
        <v>1</v>
      </c>
      <c r="C14" s="2" t="b">
        <v>0</v>
      </c>
      <c r="D14" s="2" t="b">
        <v>0</v>
      </c>
      <c r="E14" s="3" t="str">
        <f>HYPERLINK(ICCS[[#This Row],[Folder Path]]&amp;ICCS[[#This Row],[Name]], "เปิดไฟล์")</f>
        <v>เปิดไฟล์</v>
      </c>
      <c r="F14" t="s">
        <v>223</v>
      </c>
      <c r="G14" t="s">
        <v>24</v>
      </c>
      <c r="H14" s="1">
        <v>46057.575626226855</v>
      </c>
      <c r="I14" s="1">
        <v>45964.69843152778</v>
      </c>
      <c r="J14" s="1">
        <v>45964.698428148149</v>
      </c>
      <c r="K14" t="s">
        <v>220</v>
      </c>
    </row>
    <row r="15" spans="1:11" x14ac:dyDescent="0.45">
      <c r="A15" s="2" t="b">
        <v>1</v>
      </c>
      <c r="B15" s="2" t="b">
        <v>1</v>
      </c>
      <c r="C15" s="2" t="b">
        <v>0</v>
      </c>
      <c r="D15" s="2" t="b">
        <v>0</v>
      </c>
      <c r="E15" s="3" t="str">
        <f>HYPERLINK(ICCS[[#This Row],[Folder Path]]&amp;ICCS[[#This Row],[Name]], "เปิดไฟล์")</f>
        <v>เปิดไฟล์</v>
      </c>
      <c r="F15" t="s">
        <v>230</v>
      </c>
      <c r="G15" t="s">
        <v>24</v>
      </c>
      <c r="H15" s="1">
        <v>46057.575626238424</v>
      </c>
      <c r="I15" s="1">
        <v>45972.605749236114</v>
      </c>
      <c r="J15" s="1">
        <v>45972.605746377318</v>
      </c>
      <c r="K15" t="s">
        <v>231</v>
      </c>
    </row>
    <row r="16" spans="1:11" x14ac:dyDescent="0.45">
      <c r="A16" s="2" t="b">
        <v>1</v>
      </c>
      <c r="B16" s="2" t="b">
        <v>1</v>
      </c>
      <c r="C16" s="2" t="b">
        <v>0</v>
      </c>
      <c r="D16" s="2" t="b">
        <v>0</v>
      </c>
      <c r="E16" s="3" t="str">
        <f>HYPERLINK(ICCS[[#This Row],[Folder Path]]&amp;ICCS[[#This Row],[Name]], "เปิดไฟล์")</f>
        <v>เปิดไฟล์</v>
      </c>
      <c r="F16" t="s">
        <v>232</v>
      </c>
      <c r="G16" t="s">
        <v>24</v>
      </c>
      <c r="H16" s="1">
        <v>46057.575626331018</v>
      </c>
      <c r="I16" s="1">
        <v>45972.698732303237</v>
      </c>
      <c r="J16" s="1">
        <v>45972.606310567127</v>
      </c>
      <c r="K16" t="s">
        <v>231</v>
      </c>
    </row>
    <row r="17" spans="1:11" x14ac:dyDescent="0.45">
      <c r="A17" s="2" t="b">
        <v>1</v>
      </c>
      <c r="B17" s="2" t="b">
        <v>1</v>
      </c>
      <c r="C17" s="2" t="b">
        <v>0</v>
      </c>
      <c r="D17" s="2" t="b">
        <v>0</v>
      </c>
      <c r="E17" s="3" t="str">
        <f>HYPERLINK(ICCS[[#This Row],[Folder Path]]&amp;ICCS[[#This Row],[Name]], "เปิดไฟล์")</f>
        <v>เปิดไฟล์</v>
      </c>
      <c r="F17" t="s">
        <v>233</v>
      </c>
      <c r="G17" t="s">
        <v>24</v>
      </c>
      <c r="H17" s="1">
        <v>46057.575626446756</v>
      </c>
      <c r="I17" s="1">
        <v>45972.683779675928</v>
      </c>
      <c r="J17" s="1">
        <v>45972.614212106484</v>
      </c>
      <c r="K17" t="s">
        <v>231</v>
      </c>
    </row>
    <row r="18" spans="1:11" x14ac:dyDescent="0.45">
      <c r="A18" s="2" t="b">
        <v>1</v>
      </c>
      <c r="B18" s="2" t="b">
        <v>1</v>
      </c>
      <c r="C18" s="2" t="b">
        <v>0</v>
      </c>
      <c r="D18" s="2" t="b">
        <v>0</v>
      </c>
      <c r="E18" s="3" t="str">
        <f>HYPERLINK(ICCS[[#This Row],[Folder Path]]&amp;ICCS[[#This Row],[Name]], "เปิดไฟล์")</f>
        <v>เปิดไฟล์</v>
      </c>
      <c r="F18" t="s">
        <v>234</v>
      </c>
      <c r="G18" t="s">
        <v>24</v>
      </c>
      <c r="H18" s="1">
        <v>46057.575626493053</v>
      </c>
      <c r="I18" s="1">
        <v>45975.620633726852</v>
      </c>
      <c r="J18" s="1">
        <v>45972.72239584491</v>
      </c>
      <c r="K18" t="s">
        <v>231</v>
      </c>
    </row>
    <row r="19" spans="1:11" x14ac:dyDescent="0.45">
      <c r="A19" s="2" t="b">
        <v>1</v>
      </c>
      <c r="B19" s="2" t="b">
        <v>1</v>
      </c>
      <c r="C19" s="2" t="b">
        <v>0</v>
      </c>
      <c r="D19" s="2" t="b">
        <v>0</v>
      </c>
      <c r="E19" s="3" t="str">
        <f>HYPERLINK(ICCS[[#This Row],[Folder Path]]&amp;ICCS[[#This Row],[Name]], "เปิดไฟล์")</f>
        <v>เปิดไฟล์</v>
      </c>
      <c r="F19" t="s">
        <v>237</v>
      </c>
      <c r="G19" t="s">
        <v>24</v>
      </c>
      <c r="H19" s="1">
        <v>46057.575626516205</v>
      </c>
      <c r="I19" s="1">
        <v>45973.600637256946</v>
      </c>
      <c r="J19" s="1">
        <v>45973.600634513889</v>
      </c>
      <c r="K19" t="s">
        <v>238</v>
      </c>
    </row>
    <row r="20" spans="1:11" x14ac:dyDescent="0.45">
      <c r="A20" s="2" t="b">
        <v>1</v>
      </c>
      <c r="B20" s="2" t="b">
        <v>1</v>
      </c>
      <c r="C20" s="2" t="b">
        <v>0</v>
      </c>
      <c r="D20" s="2" t="b">
        <v>0</v>
      </c>
      <c r="E20" s="3" t="str">
        <f>HYPERLINK(ICCS[[#This Row],[Folder Path]]&amp;ICCS[[#This Row],[Name]], "เปิดไฟล์")</f>
        <v>เปิดไฟล์</v>
      </c>
      <c r="F20" t="s">
        <v>239</v>
      </c>
      <c r="G20" t="s">
        <v>24</v>
      </c>
      <c r="H20" s="1">
        <v>46057.575626562502</v>
      </c>
      <c r="I20" s="1">
        <v>45973.601047291668</v>
      </c>
      <c r="J20" s="1">
        <v>45973.601044467592</v>
      </c>
      <c r="K20" t="s">
        <v>238</v>
      </c>
    </row>
    <row r="21" spans="1:11" x14ac:dyDescent="0.45">
      <c r="A21" s="2" t="b">
        <v>1</v>
      </c>
      <c r="B21" s="2" t="b">
        <v>1</v>
      </c>
      <c r="C21" s="2" t="b">
        <v>0</v>
      </c>
      <c r="D21" s="2" t="b">
        <v>0</v>
      </c>
      <c r="E21" s="3" t="str">
        <f>HYPERLINK(ICCS[[#This Row],[Folder Path]]&amp;ICCS[[#This Row],[Name]], "เปิดไฟล์")</f>
        <v>เปิดไฟล์</v>
      </c>
      <c r="F21" t="s">
        <v>242</v>
      </c>
      <c r="G21" t="s">
        <v>24</v>
      </c>
      <c r="H21" s="1">
        <v>46057.575626782411</v>
      </c>
      <c r="I21" s="1">
        <v>45973.702964004631</v>
      </c>
      <c r="J21" s="1">
        <v>45973.702959571761</v>
      </c>
      <c r="K21" t="s">
        <v>238</v>
      </c>
    </row>
    <row r="22" spans="1:11" x14ac:dyDescent="0.45">
      <c r="A22" s="2" t="b">
        <v>1</v>
      </c>
      <c r="B22" s="2" t="b">
        <v>1</v>
      </c>
      <c r="C22" s="2" t="b">
        <v>0</v>
      </c>
      <c r="D22" s="2" t="b">
        <v>0</v>
      </c>
      <c r="E22" s="3" t="str">
        <f>HYPERLINK(ICCS[[#This Row],[Folder Path]]&amp;ICCS[[#This Row],[Name]], "เปิดไฟล์")</f>
        <v>เปิดไฟล์</v>
      </c>
      <c r="F22" t="s">
        <v>243</v>
      </c>
      <c r="G22" t="s">
        <v>24</v>
      </c>
      <c r="H22" s="1">
        <v>46057.575626608799</v>
      </c>
      <c r="I22" s="1">
        <v>45973.703151354166</v>
      </c>
      <c r="J22" s="1">
        <v>45973.703147337961</v>
      </c>
      <c r="K22" t="s">
        <v>238</v>
      </c>
    </row>
    <row r="23" spans="1:11" x14ac:dyDescent="0.45">
      <c r="A23" s="2" t="b">
        <v>1</v>
      </c>
      <c r="B23" s="2" t="b">
        <v>1</v>
      </c>
      <c r="C23" s="2" t="b">
        <v>0</v>
      </c>
      <c r="D23" s="2" t="b">
        <v>0</v>
      </c>
      <c r="E23" s="3" t="str">
        <f>HYPERLINK(ICCS[[#This Row],[Folder Path]]&amp;ICCS[[#This Row],[Name]], "เปิดไฟล์")</f>
        <v>เปิดไฟล์</v>
      </c>
      <c r="F23" t="s">
        <v>244</v>
      </c>
      <c r="G23" t="s">
        <v>24</v>
      </c>
      <c r="H23" s="1">
        <v>46057.575627013888</v>
      </c>
      <c r="I23" s="1">
        <v>45973.703261469906</v>
      </c>
      <c r="J23" s="1">
        <v>45973.703258634261</v>
      </c>
      <c r="K23" t="s">
        <v>238</v>
      </c>
    </row>
    <row r="24" spans="1:11" x14ac:dyDescent="0.45">
      <c r="A24" s="2" t="b">
        <v>1</v>
      </c>
      <c r="B24" s="2" t="b">
        <v>1</v>
      </c>
      <c r="C24" s="2" t="b">
        <v>0</v>
      </c>
      <c r="D24" s="2" t="b">
        <v>0</v>
      </c>
      <c r="E24" s="3" t="str">
        <f>HYPERLINK(ICCS[[#This Row],[Folder Path]]&amp;ICCS[[#This Row],[Name]], "เปิดไฟล์")</f>
        <v>เปิดไฟล์</v>
      </c>
      <c r="F24" t="s">
        <v>245</v>
      </c>
      <c r="G24" t="s">
        <v>24</v>
      </c>
      <c r="H24" s="1">
        <v>46057.575626863429</v>
      </c>
      <c r="I24" s="1">
        <v>45973.721721562499</v>
      </c>
      <c r="J24" s="1">
        <v>45973.721718425928</v>
      </c>
      <c r="K24" t="s">
        <v>238</v>
      </c>
    </row>
    <row r="25" spans="1:11" x14ac:dyDescent="0.45">
      <c r="A25" s="2" t="b">
        <v>1</v>
      </c>
      <c r="B25" s="2" t="b">
        <v>1</v>
      </c>
      <c r="C25" s="2" t="b">
        <v>0</v>
      </c>
      <c r="D25" s="2" t="b">
        <v>0</v>
      </c>
      <c r="E25" s="3" t="str">
        <f>HYPERLINK(ICCS[[#This Row],[Folder Path]]&amp;ICCS[[#This Row],[Name]], "เปิดไฟล์")</f>
        <v>เปิดไฟล์</v>
      </c>
      <c r="F25" t="s">
        <v>246</v>
      </c>
      <c r="G25" t="s">
        <v>24</v>
      </c>
      <c r="H25" s="1">
        <v>46057.575627002312</v>
      </c>
      <c r="I25" s="1">
        <v>45973.721852407405</v>
      </c>
      <c r="J25" s="1">
        <v>45973.721849340276</v>
      </c>
      <c r="K25" t="s">
        <v>238</v>
      </c>
    </row>
    <row r="26" spans="1:11" x14ac:dyDescent="0.45">
      <c r="A26" s="2" t="b">
        <v>1</v>
      </c>
      <c r="B26" s="2" t="b">
        <v>1</v>
      </c>
      <c r="C26" s="2" t="b">
        <v>0</v>
      </c>
      <c r="D26" s="2" t="b">
        <v>0</v>
      </c>
      <c r="E26" s="3" t="str">
        <f>HYPERLINK(ICCS[[#This Row],[Folder Path]]&amp;ICCS[[#This Row],[Name]], "เปิดไฟล์")</f>
        <v>เปิดไฟล์</v>
      </c>
      <c r="F26" t="s">
        <v>247</v>
      </c>
      <c r="G26" t="s">
        <v>24</v>
      </c>
      <c r="H26" s="1">
        <v>46057.575626967591</v>
      </c>
      <c r="I26" s="1">
        <v>45973.722004537034</v>
      </c>
      <c r="J26" s="1">
        <v>45973.722001435184</v>
      </c>
      <c r="K26" t="s">
        <v>238</v>
      </c>
    </row>
    <row r="27" spans="1:11" x14ac:dyDescent="0.45">
      <c r="A27" s="2" t="b">
        <v>1</v>
      </c>
      <c r="B27" s="2" t="b">
        <v>1</v>
      </c>
      <c r="C27" s="2" t="b">
        <v>0</v>
      </c>
      <c r="D27" s="2" t="b">
        <v>0</v>
      </c>
      <c r="E27" s="3" t="str">
        <f>HYPERLINK(ICCS[[#This Row],[Folder Path]]&amp;ICCS[[#This Row],[Name]], "เปิดไฟล์")</f>
        <v>เปิดไฟล์</v>
      </c>
      <c r="F27" t="s">
        <v>248</v>
      </c>
      <c r="G27" t="s">
        <v>24</v>
      </c>
      <c r="H27" s="1">
        <v>46057.5756268287</v>
      </c>
      <c r="I27" s="1">
        <v>45973.760167627312</v>
      </c>
      <c r="J27" s="1">
        <v>45973.760163171297</v>
      </c>
      <c r="K27" t="s">
        <v>238</v>
      </c>
    </row>
    <row r="28" spans="1:11" x14ac:dyDescent="0.45">
      <c r="A28" s="2" t="b">
        <v>1</v>
      </c>
      <c r="B28" s="2" t="b">
        <v>1</v>
      </c>
      <c r="C28" s="2" t="b">
        <v>0</v>
      </c>
      <c r="D28" s="2" t="b">
        <v>0</v>
      </c>
      <c r="E28" s="3" t="str">
        <f>HYPERLINK(ICCS[[#This Row],[Folder Path]]&amp;ICCS[[#This Row],[Name]], "เปิดไฟล์")</f>
        <v>เปิดไฟล์</v>
      </c>
      <c r="F28" t="s">
        <v>249</v>
      </c>
      <c r="G28" t="s">
        <v>24</v>
      </c>
      <c r="H28" s="1">
        <v>46057.575626990743</v>
      </c>
      <c r="I28" s="1">
        <v>45973.76032144676</v>
      </c>
      <c r="J28" s="1">
        <v>45973.760318252316</v>
      </c>
      <c r="K28" t="s">
        <v>238</v>
      </c>
    </row>
    <row r="29" spans="1:11" x14ac:dyDescent="0.45">
      <c r="A29" s="2" t="b">
        <v>1</v>
      </c>
      <c r="B29" s="2" t="b">
        <v>1</v>
      </c>
      <c r="C29" s="2" t="b">
        <v>0</v>
      </c>
      <c r="D29" s="2" t="b">
        <v>0</v>
      </c>
      <c r="E29" s="3" t="str">
        <f>HYPERLINK(ICCS[[#This Row],[Folder Path]]&amp;ICCS[[#This Row],[Name]], "เปิดไฟล์")</f>
        <v>เปิดไฟล์</v>
      </c>
      <c r="F29" t="s">
        <v>250</v>
      </c>
      <c r="G29" t="s">
        <v>24</v>
      </c>
      <c r="H29" s="1">
        <v>46057.575627025464</v>
      </c>
      <c r="I29" s="1">
        <v>45973.760495196759</v>
      </c>
      <c r="J29" s="1">
        <v>45973.760492037036</v>
      </c>
      <c r="K29" t="s">
        <v>238</v>
      </c>
    </row>
    <row r="30" spans="1:11" x14ac:dyDescent="0.45">
      <c r="A30" s="2" t="b">
        <v>1</v>
      </c>
      <c r="B30" s="2" t="b">
        <v>1</v>
      </c>
      <c r="C30" s="2" t="b">
        <v>0</v>
      </c>
      <c r="D30" s="2" t="b">
        <v>0</v>
      </c>
      <c r="E30" s="3" t="str">
        <f>HYPERLINK(ICCS[[#This Row],[Folder Path]]&amp;ICCS[[#This Row],[Name]], "เปิดไฟล์")</f>
        <v>เปิดไฟล์</v>
      </c>
      <c r="F30" t="s">
        <v>263</v>
      </c>
      <c r="G30" t="s">
        <v>24</v>
      </c>
      <c r="H30" s="1">
        <v>46057.57562703704</v>
      </c>
      <c r="I30" s="1">
        <v>45975.614169108798</v>
      </c>
      <c r="J30" s="1">
        <v>45975.486935266206</v>
      </c>
      <c r="K30" t="s">
        <v>264</v>
      </c>
    </row>
    <row r="31" spans="1:11" x14ac:dyDescent="0.45">
      <c r="A31" s="2" t="b">
        <v>1</v>
      </c>
      <c r="B31" s="2" t="b">
        <v>1</v>
      </c>
      <c r="C31" s="2" t="b">
        <v>0</v>
      </c>
      <c r="D31" s="2" t="b">
        <v>0</v>
      </c>
      <c r="E31" s="3" t="str">
        <f>HYPERLINK(ICCS[[#This Row],[Folder Path]]&amp;ICCS[[#This Row],[Name]], "เปิดไฟล์")</f>
        <v>เปิดไฟล์</v>
      </c>
      <c r="F31" t="s">
        <v>265</v>
      </c>
      <c r="G31" t="s">
        <v>24</v>
      </c>
      <c r="H31" s="1">
        <v>46057.575627013888</v>
      </c>
      <c r="I31" s="1">
        <v>45975.487112604169</v>
      </c>
      <c r="J31" s="1">
        <v>45975.487110208334</v>
      </c>
      <c r="K31" t="s">
        <v>264</v>
      </c>
    </row>
    <row r="32" spans="1:11" x14ac:dyDescent="0.45">
      <c r="A32" s="2" t="b">
        <v>1</v>
      </c>
      <c r="B32" s="2" t="b">
        <v>1</v>
      </c>
      <c r="C32" s="2" t="b">
        <v>0</v>
      </c>
      <c r="D32" s="2" t="b">
        <v>0</v>
      </c>
      <c r="E32" s="3" t="str">
        <f>HYPERLINK(ICCS[[#This Row],[Folder Path]]&amp;ICCS[[#This Row],[Name]], "เปิดไฟล์")</f>
        <v>เปิดไฟล์</v>
      </c>
      <c r="F32" t="s">
        <v>266</v>
      </c>
      <c r="G32" t="s">
        <v>24</v>
      </c>
      <c r="H32" s="1">
        <v>46057.575627094906</v>
      </c>
      <c r="I32" s="1">
        <v>45975.614003333336</v>
      </c>
      <c r="J32" s="1">
        <v>45975.487245300923</v>
      </c>
      <c r="K32" t="s">
        <v>264</v>
      </c>
    </row>
    <row r="33" spans="1:11" x14ac:dyDescent="0.45">
      <c r="A33" s="2" t="b">
        <v>1</v>
      </c>
      <c r="B33" s="2" t="b">
        <v>1</v>
      </c>
      <c r="C33" s="2" t="b">
        <v>0</v>
      </c>
      <c r="D33" s="2" t="b">
        <v>0</v>
      </c>
      <c r="E33" s="3" t="str">
        <f>HYPERLINK(ICCS[[#This Row],[Folder Path]]&amp;ICCS[[#This Row],[Name]], "เปิดไฟล์")</f>
        <v>เปิดไฟล์</v>
      </c>
      <c r="F33" t="s">
        <v>267</v>
      </c>
      <c r="G33" t="s">
        <v>24</v>
      </c>
      <c r="H33" s="1">
        <v>46057.575627094906</v>
      </c>
      <c r="I33" s="1">
        <v>45975.614418726851</v>
      </c>
      <c r="J33" s="1">
        <v>45975.487383587963</v>
      </c>
      <c r="K33" t="s">
        <v>264</v>
      </c>
    </row>
    <row r="34" spans="1:11" x14ac:dyDescent="0.45">
      <c r="A34" s="2" t="b">
        <v>1</v>
      </c>
      <c r="B34" s="2" t="b">
        <v>1</v>
      </c>
      <c r="C34" s="2" t="b">
        <v>0</v>
      </c>
      <c r="D34" s="2" t="b">
        <v>0</v>
      </c>
      <c r="E34" s="3" t="str">
        <f>HYPERLINK(ICCS[[#This Row],[Folder Path]]&amp;ICCS[[#This Row],[Name]], "เปิดไฟล์")</f>
        <v>เปิดไฟล์</v>
      </c>
      <c r="F34" t="s">
        <v>268</v>
      </c>
      <c r="G34" t="s">
        <v>24</v>
      </c>
      <c r="H34" s="1">
        <v>46057.575627280094</v>
      </c>
      <c r="I34" s="1">
        <v>45975.614610555553</v>
      </c>
      <c r="J34" s="1">
        <v>45975.487516967594</v>
      </c>
      <c r="K34" t="s">
        <v>264</v>
      </c>
    </row>
    <row r="35" spans="1:11" x14ac:dyDescent="0.45">
      <c r="A35" s="2" t="b">
        <v>1</v>
      </c>
      <c r="B35" s="2" t="b">
        <v>1</v>
      </c>
      <c r="C35" s="2" t="b">
        <v>0</v>
      </c>
      <c r="D35" s="2" t="b">
        <v>0</v>
      </c>
      <c r="E35" s="3" t="str">
        <f>HYPERLINK(ICCS[[#This Row],[Folder Path]]&amp;ICCS[[#This Row],[Name]], "เปิดไฟล์")</f>
        <v>เปิดไฟล์</v>
      </c>
      <c r="F35" t="s">
        <v>269</v>
      </c>
      <c r="G35" t="s">
        <v>24</v>
      </c>
      <c r="H35" s="1">
        <v>46057.575627337967</v>
      </c>
      <c r="I35" s="1">
        <v>45977.83083515046</v>
      </c>
      <c r="J35" s="1">
        <v>45975.629067974536</v>
      </c>
      <c r="K35" t="s">
        <v>264</v>
      </c>
    </row>
    <row r="36" spans="1:11" x14ac:dyDescent="0.45">
      <c r="A36" s="2" t="b">
        <v>1</v>
      </c>
      <c r="B36" s="2" t="b">
        <v>1</v>
      </c>
      <c r="C36" s="2" t="b">
        <v>0</v>
      </c>
      <c r="D36" s="2" t="b">
        <v>0</v>
      </c>
      <c r="E36" s="3" t="str">
        <f>HYPERLINK(ICCS[[#This Row],[Folder Path]]&amp;ICCS[[#This Row],[Name]], "เปิดไฟล์")</f>
        <v>เปิดไฟล์</v>
      </c>
      <c r="F36" t="s">
        <v>278</v>
      </c>
      <c r="G36" t="s">
        <v>24</v>
      </c>
      <c r="H36" s="1">
        <v>46057.575627349535</v>
      </c>
      <c r="I36" s="1">
        <v>45978.762565428238</v>
      </c>
      <c r="J36" s="1">
        <v>45978.762562245371</v>
      </c>
      <c r="K36" t="s">
        <v>279</v>
      </c>
    </row>
    <row r="37" spans="1:11" x14ac:dyDescent="0.45">
      <c r="A37" s="2" t="b">
        <v>1</v>
      </c>
      <c r="B37" s="2" t="b">
        <v>1</v>
      </c>
      <c r="C37" s="2" t="b">
        <v>0</v>
      </c>
      <c r="D37" s="2" t="b">
        <v>0</v>
      </c>
      <c r="E37" s="3" t="str">
        <f>HYPERLINK(ICCS[[#This Row],[Folder Path]]&amp;ICCS[[#This Row],[Name]], "เปิดไฟล์")</f>
        <v>เปิดไฟล์</v>
      </c>
      <c r="F37" t="s">
        <v>283</v>
      </c>
      <c r="G37" t="s">
        <v>24</v>
      </c>
      <c r="H37" s="1">
        <v>46057.575627372687</v>
      </c>
      <c r="I37" s="1">
        <v>45981.583857928243</v>
      </c>
      <c r="J37" s="1">
        <v>45979.496859699073</v>
      </c>
      <c r="K37" t="s">
        <v>284</v>
      </c>
    </row>
    <row r="38" spans="1:11" x14ac:dyDescent="0.45">
      <c r="A38" s="2" t="b">
        <v>1</v>
      </c>
      <c r="B38" s="2" t="b">
        <v>1</v>
      </c>
      <c r="C38" s="2" t="b">
        <v>0</v>
      </c>
      <c r="D38" s="2" t="b">
        <v>0</v>
      </c>
      <c r="E38" s="3" t="str">
        <f>HYPERLINK(ICCS[[#This Row],[Folder Path]]&amp;ICCS[[#This Row],[Name]], "เปิดไฟล์")</f>
        <v>เปิดไฟล์</v>
      </c>
      <c r="F38" t="s">
        <v>285</v>
      </c>
      <c r="G38" t="s">
        <v>24</v>
      </c>
      <c r="H38" s="1">
        <v>46057.57562747685</v>
      </c>
      <c r="I38" s="1">
        <v>45979.719758090279</v>
      </c>
      <c r="J38" s="1">
        <v>45979.719753703706</v>
      </c>
      <c r="K38" t="s">
        <v>284</v>
      </c>
    </row>
    <row r="39" spans="1:11" x14ac:dyDescent="0.45">
      <c r="A39" s="2" t="b">
        <v>1</v>
      </c>
      <c r="B39" s="2" t="b">
        <v>1</v>
      </c>
      <c r="C39" s="2" t="b">
        <v>0</v>
      </c>
      <c r="D39" s="2" t="b">
        <v>0</v>
      </c>
      <c r="E39" s="3" t="str">
        <f>HYPERLINK(ICCS[[#This Row],[Folder Path]]&amp;ICCS[[#This Row],[Name]], "เปิดไฟล์")</f>
        <v>เปิดไฟล์</v>
      </c>
      <c r="F39" t="s">
        <v>286</v>
      </c>
      <c r="G39" t="s">
        <v>24</v>
      </c>
      <c r="H39" s="1">
        <v>46057.575627430553</v>
      </c>
      <c r="I39" s="1">
        <v>45979.719911504631</v>
      </c>
      <c r="J39" s="1">
        <v>45979.719908310188</v>
      </c>
      <c r="K39" t="s">
        <v>284</v>
      </c>
    </row>
    <row r="40" spans="1:11" x14ac:dyDescent="0.45">
      <c r="A40" s="2" t="b">
        <v>1</v>
      </c>
      <c r="B40" s="2" t="b">
        <v>1</v>
      </c>
      <c r="C40" s="2" t="b">
        <v>0</v>
      </c>
      <c r="D40" s="2" t="b">
        <v>0</v>
      </c>
      <c r="E40" s="3" t="str">
        <f>HYPERLINK(ICCS[[#This Row],[Folder Path]]&amp;ICCS[[#This Row],[Name]], "เปิดไฟล์")</f>
        <v>เปิดไฟล์</v>
      </c>
      <c r="F40" t="s">
        <v>289</v>
      </c>
      <c r="G40" t="s">
        <v>24</v>
      </c>
      <c r="H40" s="1">
        <v>46057.575627847225</v>
      </c>
      <c r="I40" s="1">
        <v>45980.429051956016</v>
      </c>
      <c r="J40" s="1">
        <v>45980.429048796294</v>
      </c>
      <c r="K40" t="s">
        <v>290</v>
      </c>
    </row>
    <row r="41" spans="1:11" x14ac:dyDescent="0.45">
      <c r="A41" s="2" t="b">
        <v>1</v>
      </c>
      <c r="B41" s="2" t="b">
        <v>1</v>
      </c>
      <c r="C41" s="2" t="b">
        <v>0</v>
      </c>
      <c r="D41" s="2" t="b">
        <v>0</v>
      </c>
      <c r="E41" s="3" t="str">
        <f>HYPERLINK(ICCS[[#This Row],[Folder Path]]&amp;ICCS[[#This Row],[Name]], "เปิดไฟล์")</f>
        <v>เปิดไฟล์</v>
      </c>
      <c r="F41" t="s">
        <v>291</v>
      </c>
      <c r="G41" t="s">
        <v>24</v>
      </c>
      <c r="H41" s="1">
        <v>46057.575627465281</v>
      </c>
      <c r="I41" s="1">
        <v>45980.432939791666</v>
      </c>
      <c r="J41" s="1">
        <v>45980.432933958335</v>
      </c>
      <c r="K41" t="s">
        <v>290</v>
      </c>
    </row>
    <row r="42" spans="1:11" x14ac:dyDescent="0.45">
      <c r="A42" s="2" t="b">
        <v>1</v>
      </c>
      <c r="B42" s="2" t="b">
        <v>1</v>
      </c>
      <c r="C42" s="2" t="b">
        <v>0</v>
      </c>
      <c r="D42" s="2" t="b">
        <v>0</v>
      </c>
      <c r="E42" s="3" t="str">
        <f>HYPERLINK(ICCS[[#This Row],[Folder Path]]&amp;ICCS[[#This Row],[Name]], "เปิดไฟล์")</f>
        <v>เปิดไฟล์</v>
      </c>
      <c r="F42" t="s">
        <v>292</v>
      </c>
      <c r="G42" t="s">
        <v>24</v>
      </c>
      <c r="H42" s="1">
        <v>46057.575627500002</v>
      </c>
      <c r="I42" s="1">
        <v>45980.433294988426</v>
      </c>
      <c r="J42" s="1">
        <v>45980.43329202546</v>
      </c>
      <c r="K42" t="s">
        <v>290</v>
      </c>
    </row>
    <row r="43" spans="1:11" x14ac:dyDescent="0.45">
      <c r="A43" s="2" t="b">
        <v>1</v>
      </c>
      <c r="B43" s="2" t="b">
        <v>1</v>
      </c>
      <c r="C43" s="2" t="b">
        <v>0</v>
      </c>
      <c r="D43" s="2" t="b">
        <v>0</v>
      </c>
      <c r="E43" s="3" t="str">
        <f>HYPERLINK(ICCS[[#This Row],[Folder Path]]&amp;ICCS[[#This Row],[Name]], "เปิดไฟล์")</f>
        <v>เปิดไฟล์</v>
      </c>
      <c r="F43" t="s">
        <v>293</v>
      </c>
      <c r="G43" t="s">
        <v>24</v>
      </c>
      <c r="H43" s="1">
        <v>46057.575627557868</v>
      </c>
      <c r="I43" s="1">
        <v>45981.588959386572</v>
      </c>
      <c r="J43" s="1">
        <v>45980.433621932869</v>
      </c>
      <c r="K43" t="s">
        <v>290</v>
      </c>
    </row>
    <row r="44" spans="1:11" x14ac:dyDescent="0.45">
      <c r="A44" s="2" t="b">
        <v>1</v>
      </c>
      <c r="B44" s="2" t="b">
        <v>1</v>
      </c>
      <c r="C44" s="2" t="b">
        <v>0</v>
      </c>
      <c r="D44" s="2" t="b">
        <v>0</v>
      </c>
      <c r="E44" s="3" t="str">
        <f>HYPERLINK(ICCS[[#This Row],[Folder Path]]&amp;ICCS[[#This Row],[Name]], "เปิดไฟล์")</f>
        <v>เปิดไฟล์</v>
      </c>
      <c r="F44" t="s">
        <v>294</v>
      </c>
      <c r="G44" t="s">
        <v>24</v>
      </c>
      <c r="H44" s="1">
        <v>46057.575627800928</v>
      </c>
      <c r="I44" s="1">
        <v>45980.434019687498</v>
      </c>
      <c r="J44" s="1">
        <v>45980.434016261577</v>
      </c>
      <c r="K44" t="s">
        <v>290</v>
      </c>
    </row>
    <row r="45" spans="1:11" x14ac:dyDescent="0.45">
      <c r="A45" s="2" t="b">
        <v>1</v>
      </c>
      <c r="B45" s="2" t="b">
        <v>1</v>
      </c>
      <c r="C45" s="2" t="b">
        <v>0</v>
      </c>
      <c r="D45" s="2" t="b">
        <v>0</v>
      </c>
      <c r="E45" s="3" t="str">
        <f>HYPERLINK(ICCS[[#This Row],[Folder Path]]&amp;ICCS[[#This Row],[Name]], "เปิดไฟล์")</f>
        <v>เปิดไฟล์</v>
      </c>
      <c r="F45" t="s">
        <v>295</v>
      </c>
      <c r="G45" t="s">
        <v>24</v>
      </c>
      <c r="H45" s="1">
        <v>46057.57562758102</v>
      </c>
      <c r="I45" s="1">
        <v>45980.434392743053</v>
      </c>
      <c r="J45" s="1">
        <v>45980.434389837967</v>
      </c>
      <c r="K45" t="s">
        <v>290</v>
      </c>
    </row>
    <row r="46" spans="1:11" x14ac:dyDescent="0.45">
      <c r="A46" s="2" t="b">
        <v>1</v>
      </c>
      <c r="B46" s="2" t="b">
        <v>1</v>
      </c>
      <c r="C46" s="2" t="b">
        <v>0</v>
      </c>
      <c r="D46" s="2" t="b">
        <v>0</v>
      </c>
      <c r="E46" s="3" t="str">
        <f>HYPERLINK(ICCS[[#This Row],[Folder Path]]&amp;ICCS[[#This Row],[Name]], "เปิดไฟล์")</f>
        <v>เปิดไฟล์</v>
      </c>
      <c r="F46" t="s">
        <v>300</v>
      </c>
      <c r="G46" t="s">
        <v>24</v>
      </c>
      <c r="H46" s="1">
        <v>46057.575627708335</v>
      </c>
      <c r="I46" s="1">
        <v>45980.486772268516</v>
      </c>
      <c r="J46" s="1">
        <v>45980.480388622687</v>
      </c>
      <c r="K46" t="s">
        <v>290</v>
      </c>
    </row>
    <row r="47" spans="1:11" x14ac:dyDescent="0.45">
      <c r="A47" s="2" t="b">
        <v>1</v>
      </c>
      <c r="B47" s="2" t="b">
        <v>1</v>
      </c>
      <c r="C47" s="2" t="b">
        <v>0</v>
      </c>
      <c r="D47" s="2" t="b">
        <v>0</v>
      </c>
      <c r="E47" s="3" t="str">
        <f>HYPERLINK(ICCS[[#This Row],[Folder Path]]&amp;ICCS[[#This Row],[Name]], "เปิดไฟล์")</f>
        <v>เปิดไฟล์</v>
      </c>
      <c r="F47" t="s">
        <v>301</v>
      </c>
      <c r="G47" t="s">
        <v>24</v>
      </c>
      <c r="H47" s="1">
        <v>46057.575627673614</v>
      </c>
      <c r="I47" s="1">
        <v>45981.585892025461</v>
      </c>
      <c r="J47" s="1">
        <v>45980.484278402779</v>
      </c>
      <c r="K47" t="s">
        <v>290</v>
      </c>
    </row>
    <row r="48" spans="1:11" x14ac:dyDescent="0.45">
      <c r="A48" s="2" t="b">
        <v>1</v>
      </c>
      <c r="B48" s="2" t="b">
        <v>1</v>
      </c>
      <c r="C48" s="2" t="b">
        <v>0</v>
      </c>
      <c r="D48" s="2" t="b">
        <v>0</v>
      </c>
      <c r="E48" s="3" t="str">
        <f>HYPERLINK(ICCS[[#This Row],[Folder Path]]&amp;ICCS[[#This Row],[Name]], "เปิดไฟล์")</f>
        <v>เปิดไฟล์</v>
      </c>
      <c r="F48" t="s">
        <v>302</v>
      </c>
      <c r="G48" t="s">
        <v>24</v>
      </c>
      <c r="H48" s="1">
        <v>46057.575627719911</v>
      </c>
      <c r="I48" s="1">
        <v>45980.732060601855</v>
      </c>
      <c r="J48" s="1">
        <v>45980.732054872686</v>
      </c>
      <c r="K48" t="s">
        <v>290</v>
      </c>
    </row>
    <row r="49" spans="1:11" x14ac:dyDescent="0.45">
      <c r="A49" s="2" t="b">
        <v>1</v>
      </c>
      <c r="B49" s="2" t="b">
        <v>1</v>
      </c>
      <c r="C49" s="2" t="b">
        <v>0</v>
      </c>
      <c r="D49" s="2" t="b">
        <v>0</v>
      </c>
      <c r="E49" s="3" t="str">
        <f>HYPERLINK(ICCS[[#This Row],[Folder Path]]&amp;ICCS[[#This Row],[Name]], "เปิดไฟล์")</f>
        <v>เปิดไฟล์</v>
      </c>
      <c r="F49" t="s">
        <v>305</v>
      </c>
      <c r="G49" t="s">
        <v>24</v>
      </c>
      <c r="H49" s="1">
        <v>46057.575627835649</v>
      </c>
      <c r="I49" s="1">
        <v>45980.734783344909</v>
      </c>
      <c r="J49" s="1">
        <v>45980.734778391205</v>
      </c>
      <c r="K49" t="s">
        <v>290</v>
      </c>
    </row>
    <row r="50" spans="1:11" x14ac:dyDescent="0.45">
      <c r="A50" s="2" t="b">
        <v>1</v>
      </c>
      <c r="B50" s="2" t="b">
        <v>1</v>
      </c>
      <c r="C50" s="2" t="b">
        <v>0</v>
      </c>
      <c r="D50" s="2" t="b">
        <v>0</v>
      </c>
      <c r="E50" s="3" t="str">
        <f>HYPERLINK(ICCS[[#This Row],[Folder Path]]&amp;ICCS[[#This Row],[Name]], "เปิดไฟล์")</f>
        <v>เปิดไฟล์</v>
      </c>
      <c r="F50" t="s">
        <v>306</v>
      </c>
      <c r="G50" t="s">
        <v>24</v>
      </c>
      <c r="H50" s="1">
        <v>46057.575627905091</v>
      </c>
      <c r="I50" s="1">
        <v>45980.735306076385</v>
      </c>
      <c r="J50" s="1">
        <v>45980.73530054398</v>
      </c>
      <c r="K50" t="s">
        <v>290</v>
      </c>
    </row>
    <row r="51" spans="1:11" x14ac:dyDescent="0.45">
      <c r="A51" s="2" t="b">
        <v>1</v>
      </c>
      <c r="B51" s="2" t="b">
        <v>1</v>
      </c>
      <c r="C51" s="2" t="b">
        <v>0</v>
      </c>
      <c r="D51" s="2" t="b">
        <v>0</v>
      </c>
      <c r="E51" s="3" t="str">
        <f>HYPERLINK(ICCS[[#This Row],[Folder Path]]&amp;ICCS[[#This Row],[Name]], "เปิดไฟล์")</f>
        <v>เปิดไฟล์</v>
      </c>
      <c r="F51" t="s">
        <v>307</v>
      </c>
      <c r="G51" t="s">
        <v>24</v>
      </c>
      <c r="H51" s="1">
        <v>46057.575627928243</v>
      </c>
      <c r="I51" s="1">
        <v>45981.592624259261</v>
      </c>
      <c r="J51" s="1">
        <v>45981.430982025464</v>
      </c>
      <c r="K51" t="s">
        <v>308</v>
      </c>
    </row>
    <row r="52" spans="1:11" x14ac:dyDescent="0.45">
      <c r="A52" s="2" t="b">
        <v>1</v>
      </c>
      <c r="B52" s="2" t="b">
        <v>1</v>
      </c>
      <c r="C52" s="2" t="b">
        <v>0</v>
      </c>
      <c r="D52" s="2" t="b">
        <v>0</v>
      </c>
      <c r="E52" s="3" t="str">
        <f>HYPERLINK(ICCS[[#This Row],[Folder Path]]&amp;ICCS[[#This Row],[Name]], "เปิดไฟล์")</f>
        <v>เปิดไฟล์</v>
      </c>
      <c r="F52" t="s">
        <v>314</v>
      </c>
      <c r="G52" t="s">
        <v>24</v>
      </c>
      <c r="H52" s="1">
        <v>46057.575627939812</v>
      </c>
      <c r="I52" s="1">
        <v>45981.626243067127</v>
      </c>
      <c r="J52" s="1">
        <v>45981.62623947917</v>
      </c>
      <c r="K52" t="s">
        <v>308</v>
      </c>
    </row>
    <row r="53" spans="1:11" x14ac:dyDescent="0.45">
      <c r="A53" s="2" t="b">
        <v>1</v>
      </c>
      <c r="B53" s="2" t="b">
        <v>1</v>
      </c>
      <c r="C53" s="2" t="b">
        <v>0</v>
      </c>
      <c r="D53" s="2" t="b">
        <v>0</v>
      </c>
      <c r="E53" s="3" t="str">
        <f>HYPERLINK(ICCS[[#This Row],[Folder Path]]&amp;ICCS[[#This Row],[Name]], "เปิดไฟล์")</f>
        <v>เปิดไฟล์</v>
      </c>
      <c r="F53" t="s">
        <v>315</v>
      </c>
      <c r="G53" t="s">
        <v>24</v>
      </c>
      <c r="H53" s="1">
        <v>46057.575627997685</v>
      </c>
      <c r="I53" s="1">
        <v>45981.626380601854</v>
      </c>
      <c r="J53" s="1">
        <v>45981.626376932873</v>
      </c>
      <c r="K53" t="s">
        <v>308</v>
      </c>
    </row>
    <row r="54" spans="1:11" x14ac:dyDescent="0.45">
      <c r="A54" s="2" t="b">
        <v>1</v>
      </c>
      <c r="B54" s="2" t="b">
        <v>1</v>
      </c>
      <c r="C54" s="2" t="b">
        <v>0</v>
      </c>
      <c r="D54" s="2" t="b">
        <v>0</v>
      </c>
      <c r="E54" s="3" t="str">
        <f>HYPERLINK(ICCS[[#This Row],[Folder Path]]&amp;ICCS[[#This Row],[Name]], "เปิดไฟล์")</f>
        <v>เปิดไฟล์</v>
      </c>
      <c r="F54" t="s">
        <v>316</v>
      </c>
      <c r="G54" t="s">
        <v>24</v>
      </c>
      <c r="H54" s="1">
        <v>46057.575628043982</v>
      </c>
      <c r="I54" s="1">
        <v>45981.626467881943</v>
      </c>
      <c r="J54" s="1">
        <v>45981.626464768517</v>
      </c>
      <c r="K54" t="s">
        <v>308</v>
      </c>
    </row>
    <row r="55" spans="1:11" x14ac:dyDescent="0.45">
      <c r="A55" s="2" t="b">
        <v>1</v>
      </c>
      <c r="B55" s="2" t="b">
        <v>1</v>
      </c>
      <c r="C55" s="2" t="b">
        <v>0</v>
      </c>
      <c r="D55" s="2" t="b">
        <v>0</v>
      </c>
      <c r="E55" s="3" t="str">
        <f>HYPERLINK(ICCS[[#This Row],[Folder Path]]&amp;ICCS[[#This Row],[Name]], "เปิดไฟล์")</f>
        <v>เปิดไฟล์</v>
      </c>
      <c r="F55" t="s">
        <v>317</v>
      </c>
      <c r="G55" t="s">
        <v>24</v>
      </c>
      <c r="H55" s="1">
        <v>46057.57562802083</v>
      </c>
      <c r="I55" s="1">
        <v>45981.626574664355</v>
      </c>
      <c r="J55" s="1">
        <v>45981.626571527777</v>
      </c>
      <c r="K55" t="s">
        <v>308</v>
      </c>
    </row>
    <row r="56" spans="1:11" x14ac:dyDescent="0.45">
      <c r="A56" s="2" t="b">
        <v>1</v>
      </c>
      <c r="B56" s="2" t="b">
        <v>1</v>
      </c>
      <c r="C56" s="2" t="b">
        <v>0</v>
      </c>
      <c r="D56" s="2" t="b">
        <v>0</v>
      </c>
      <c r="E56" s="3" t="str">
        <f>HYPERLINK(ICCS[[#This Row],[Folder Path]]&amp;ICCS[[#This Row],[Name]], "เปิดไฟล์")</f>
        <v>เปิดไฟล์</v>
      </c>
      <c r="F56" t="s">
        <v>318</v>
      </c>
      <c r="G56" t="s">
        <v>24</v>
      </c>
      <c r="H56" s="1">
        <v>46057.575628055558</v>
      </c>
      <c r="I56" s="1">
        <v>45981.668032662034</v>
      </c>
      <c r="J56" s="1">
        <v>45981.668029606481</v>
      </c>
      <c r="K56" t="s">
        <v>308</v>
      </c>
    </row>
    <row r="57" spans="1:11" x14ac:dyDescent="0.45">
      <c r="A57" s="2" t="b">
        <v>1</v>
      </c>
      <c r="B57" s="2" t="b">
        <v>1</v>
      </c>
      <c r="C57" s="2" t="b">
        <v>0</v>
      </c>
      <c r="D57" s="2" t="b">
        <v>0</v>
      </c>
      <c r="E57" s="3" t="str">
        <f>HYPERLINK(ICCS[[#This Row],[Folder Path]]&amp;ICCS[[#This Row],[Name]], "เปิดไฟล์")</f>
        <v>เปิดไฟล์</v>
      </c>
      <c r="F57" t="s">
        <v>319</v>
      </c>
      <c r="G57" t="s">
        <v>24</v>
      </c>
      <c r="H57" s="1">
        <v>46057.575628125</v>
      </c>
      <c r="I57" s="1">
        <v>45981.724876435183</v>
      </c>
      <c r="J57" s="1">
        <v>45981.72394196759</v>
      </c>
      <c r="K57" t="s">
        <v>308</v>
      </c>
    </row>
    <row r="58" spans="1:11" x14ac:dyDescent="0.45">
      <c r="A58" s="2" t="b">
        <v>1</v>
      </c>
      <c r="B58" s="2" t="b">
        <v>1</v>
      </c>
      <c r="C58" s="2" t="b">
        <v>0</v>
      </c>
      <c r="D58" s="2" t="b">
        <v>0</v>
      </c>
      <c r="E58" s="3" t="str">
        <f>HYPERLINK(ICCS[[#This Row],[Folder Path]]&amp;ICCS[[#This Row],[Name]], "เปิดไฟล์")</f>
        <v>เปิดไฟล์</v>
      </c>
      <c r="F58" t="s">
        <v>320</v>
      </c>
      <c r="G58" t="s">
        <v>24</v>
      </c>
      <c r="H58" s="1">
        <v>46057.575628182873</v>
      </c>
      <c r="I58" s="1">
        <v>45981.790712071757</v>
      </c>
      <c r="J58" s="1">
        <v>45981.790708668981</v>
      </c>
      <c r="K58" t="s">
        <v>308</v>
      </c>
    </row>
    <row r="59" spans="1:11" x14ac:dyDescent="0.45">
      <c r="A59" s="2" t="b">
        <v>1</v>
      </c>
      <c r="B59" s="2" t="b">
        <v>1</v>
      </c>
      <c r="C59" s="2" t="b">
        <v>0</v>
      </c>
      <c r="D59" s="2" t="b">
        <v>0</v>
      </c>
      <c r="E59" s="3" t="str">
        <f>HYPERLINK(ICCS[[#This Row],[Folder Path]]&amp;ICCS[[#This Row],[Name]], "เปิดไฟล์")</f>
        <v>เปิดไฟล์</v>
      </c>
      <c r="F59" t="s">
        <v>333</v>
      </c>
      <c r="G59" t="s">
        <v>24</v>
      </c>
      <c r="H59" s="1">
        <v>46057.575628182873</v>
      </c>
      <c r="I59" s="1">
        <v>45982.658940162037</v>
      </c>
      <c r="J59" s="1">
        <v>45982.658935937499</v>
      </c>
      <c r="K59" t="s">
        <v>334</v>
      </c>
    </row>
    <row r="60" spans="1:11" x14ac:dyDescent="0.45">
      <c r="A60" s="2" t="b">
        <v>1</v>
      </c>
      <c r="B60" s="2" t="b">
        <v>1</v>
      </c>
      <c r="C60" s="2" t="b">
        <v>0</v>
      </c>
      <c r="D60" s="2" t="b">
        <v>0</v>
      </c>
      <c r="E60" s="3" t="str">
        <f>HYPERLINK(ICCS[[#This Row],[Folder Path]]&amp;ICCS[[#This Row],[Name]], "เปิดไฟล์")</f>
        <v>เปิดไฟล์</v>
      </c>
      <c r="F60" t="s">
        <v>335</v>
      </c>
      <c r="G60" t="s">
        <v>24</v>
      </c>
      <c r="H60" s="1">
        <v>46057.575628275466</v>
      </c>
      <c r="I60" s="1">
        <v>45985.739250543978</v>
      </c>
      <c r="J60" s="1">
        <v>45985.739247280093</v>
      </c>
      <c r="K60" t="s">
        <v>336</v>
      </c>
    </row>
    <row r="61" spans="1:11" x14ac:dyDescent="0.45">
      <c r="A61" s="2" t="b">
        <v>1</v>
      </c>
      <c r="B61" s="2" t="b">
        <v>1</v>
      </c>
      <c r="C61" s="2" t="b">
        <v>0</v>
      </c>
      <c r="D61" s="2" t="b">
        <v>0</v>
      </c>
      <c r="E61" s="3" t="str">
        <f>HYPERLINK(ICCS[[#This Row],[Folder Path]]&amp;ICCS[[#This Row],[Name]], "เปิดไฟล์")</f>
        <v>เปิดไฟล์</v>
      </c>
      <c r="F61" t="s">
        <v>337</v>
      </c>
      <c r="G61" t="s">
        <v>24</v>
      </c>
      <c r="H61" s="1">
        <v>46057.575628356484</v>
      </c>
      <c r="I61" s="1">
        <v>45985.739359884261</v>
      </c>
      <c r="J61" s="1">
        <v>45985.739356701386</v>
      </c>
      <c r="K61" t="s">
        <v>336</v>
      </c>
    </row>
    <row r="62" spans="1:11" x14ac:dyDescent="0.45">
      <c r="A62" s="2" t="b">
        <v>1</v>
      </c>
      <c r="B62" s="2" t="b">
        <v>1</v>
      </c>
      <c r="C62" s="2" t="b">
        <v>0</v>
      </c>
      <c r="D62" s="2" t="b">
        <v>0</v>
      </c>
      <c r="E62" s="3" t="str">
        <f>HYPERLINK(ICCS[[#This Row],[Folder Path]]&amp;ICCS[[#This Row],[Name]], "เปิดไฟล์")</f>
        <v>เปิดไฟล์</v>
      </c>
      <c r="F62" t="s">
        <v>338</v>
      </c>
      <c r="G62" t="s">
        <v>24</v>
      </c>
      <c r="H62" s="1">
        <v>46057.575628391205</v>
      </c>
      <c r="I62" s="1">
        <v>45986.420446921293</v>
      </c>
      <c r="J62" s="1">
        <v>45986.42044454861</v>
      </c>
      <c r="K62" t="s">
        <v>339</v>
      </c>
    </row>
    <row r="63" spans="1:11" x14ac:dyDescent="0.45">
      <c r="A63" s="2" t="b">
        <v>1</v>
      </c>
      <c r="B63" s="2" t="b">
        <v>1</v>
      </c>
      <c r="C63" s="2" t="b">
        <v>0</v>
      </c>
      <c r="D63" s="2" t="b">
        <v>0</v>
      </c>
      <c r="E63" s="3" t="str">
        <f>HYPERLINK(ICCS[[#This Row],[Folder Path]]&amp;ICCS[[#This Row],[Name]], "เปิดไฟล์")</f>
        <v>เปิดไฟล์</v>
      </c>
      <c r="F63" t="s">
        <v>340</v>
      </c>
      <c r="G63" t="s">
        <v>24</v>
      </c>
      <c r="H63" s="1">
        <v>46057.57562841435</v>
      </c>
      <c r="I63" s="1">
        <v>45986.420574745367</v>
      </c>
      <c r="J63" s="1">
        <v>45986.420572395837</v>
      </c>
      <c r="K63" t="s">
        <v>339</v>
      </c>
    </row>
    <row r="64" spans="1:11" x14ac:dyDescent="0.45">
      <c r="A64" s="2" t="b">
        <v>1</v>
      </c>
      <c r="B64" s="2" t="b">
        <v>1</v>
      </c>
      <c r="C64" s="2" t="b">
        <v>0</v>
      </c>
      <c r="D64" s="2" t="b">
        <v>0</v>
      </c>
      <c r="E64" s="3" t="str">
        <f>HYPERLINK(ICCS[[#This Row],[Folder Path]]&amp;ICCS[[#This Row],[Name]], "เปิดไฟล์")</f>
        <v>เปิดไฟล์</v>
      </c>
      <c r="F64" t="s">
        <v>341</v>
      </c>
      <c r="G64" t="s">
        <v>24</v>
      </c>
      <c r="H64" s="1">
        <v>46057.575628437502</v>
      </c>
      <c r="I64" s="1">
        <v>45986.671643831018</v>
      </c>
      <c r="J64" s="1">
        <v>45986.671638182874</v>
      </c>
      <c r="K64" t="s">
        <v>339</v>
      </c>
    </row>
    <row r="65" spans="1:11" x14ac:dyDescent="0.45">
      <c r="A65" s="2" t="b">
        <v>1</v>
      </c>
      <c r="B65" s="2" t="b">
        <v>1</v>
      </c>
      <c r="C65" s="2" t="b">
        <v>0</v>
      </c>
      <c r="D65" s="2" t="b">
        <v>0</v>
      </c>
      <c r="E65" s="3" t="str">
        <f>HYPERLINK(ICCS[[#This Row],[Folder Path]]&amp;ICCS[[#This Row],[Name]], "เปิดไฟล์")</f>
        <v>เปิดไฟล์</v>
      </c>
      <c r="F65" t="s">
        <v>342</v>
      </c>
      <c r="G65" t="s">
        <v>24</v>
      </c>
      <c r="H65" s="1">
        <v>46057.575628495368</v>
      </c>
      <c r="I65" s="1">
        <v>45986.695527986114</v>
      </c>
      <c r="J65" s="1">
        <v>45986.671806168983</v>
      </c>
      <c r="K65" t="s">
        <v>339</v>
      </c>
    </row>
    <row r="66" spans="1:11" x14ac:dyDescent="0.45">
      <c r="A66" s="2" t="b">
        <v>1</v>
      </c>
      <c r="B66" s="2" t="b">
        <v>1</v>
      </c>
      <c r="C66" s="2" t="b">
        <v>0</v>
      </c>
      <c r="D66" s="2" t="b">
        <v>0</v>
      </c>
      <c r="E66" s="3" t="str">
        <f>HYPERLINK(ICCS[[#This Row],[Folder Path]]&amp;ICCS[[#This Row],[Name]], "เปิดไฟล์")</f>
        <v>เปิดไฟล์</v>
      </c>
      <c r="F66" t="s">
        <v>343</v>
      </c>
      <c r="G66" t="s">
        <v>24</v>
      </c>
      <c r="H66" s="1">
        <v>46057.575628541665</v>
      </c>
      <c r="I66" s="1">
        <v>45986.672261377316</v>
      </c>
      <c r="J66" s="1">
        <v>45986.672257013888</v>
      </c>
      <c r="K66" t="s">
        <v>339</v>
      </c>
    </row>
    <row r="67" spans="1:11" x14ac:dyDescent="0.45">
      <c r="A67" s="2" t="b">
        <v>1</v>
      </c>
      <c r="B67" s="2" t="b">
        <v>1</v>
      </c>
      <c r="C67" s="2" t="b">
        <v>0</v>
      </c>
      <c r="D67" s="2" t="b">
        <v>1</v>
      </c>
      <c r="E67" s="3" t="str">
        <f>HYPERLINK(ICCS[[#This Row],[Folder Path]]&amp;ICCS[[#This Row],[Name]], "เปิดไฟล์")</f>
        <v>เปิดไฟล์</v>
      </c>
      <c r="F67" t="s">
        <v>351</v>
      </c>
      <c r="G67" t="s">
        <v>24</v>
      </c>
      <c r="H67" s="1">
        <v>46057.575628819446</v>
      </c>
      <c r="I67" s="1">
        <v>45989.69564395833</v>
      </c>
      <c r="J67" s="1">
        <v>45989.690801643519</v>
      </c>
      <c r="K67" t="s">
        <v>352</v>
      </c>
    </row>
    <row r="68" spans="1:11" x14ac:dyDescent="0.45">
      <c r="A68" s="2" t="b">
        <v>1</v>
      </c>
      <c r="B68" s="2" t="b">
        <v>1</v>
      </c>
      <c r="C68" s="2" t="b">
        <v>0</v>
      </c>
      <c r="D68" s="2" t="b">
        <v>1</v>
      </c>
      <c r="E68" s="3" t="str">
        <f>HYPERLINK(ICCS[[#This Row],[Folder Path]]&amp;ICCS[[#This Row],[Name]], "เปิดไฟล์")</f>
        <v>เปิดไฟล์</v>
      </c>
      <c r="F68" t="s">
        <v>353</v>
      </c>
      <c r="G68" t="s">
        <v>24</v>
      </c>
      <c r="H68" s="1">
        <v>46057.575628854167</v>
      </c>
      <c r="I68" s="1">
        <v>45989.691389629632</v>
      </c>
      <c r="J68" s="1">
        <v>45989.69138679398</v>
      </c>
      <c r="K68" t="s">
        <v>352</v>
      </c>
    </row>
    <row r="69" spans="1:11" x14ac:dyDescent="0.45">
      <c r="A69" s="2" t="b">
        <v>1</v>
      </c>
      <c r="B69" s="2" t="b">
        <v>1</v>
      </c>
      <c r="C69" s="2" t="b">
        <v>0</v>
      </c>
      <c r="D69" s="2" t="b">
        <v>1</v>
      </c>
      <c r="E69" s="3" t="str">
        <f>HYPERLINK(ICCS[[#This Row],[Folder Path]]&amp;ICCS[[#This Row],[Name]], "เปิดไฟล์")</f>
        <v>เปิดไฟล์</v>
      </c>
      <c r="F69" t="s">
        <v>354</v>
      </c>
      <c r="G69" t="s">
        <v>24</v>
      </c>
      <c r="H69" s="1">
        <v>46057.575628749997</v>
      </c>
      <c r="I69" s="1">
        <v>45989.691891134258</v>
      </c>
      <c r="J69" s="1">
        <v>45989.691888368056</v>
      </c>
      <c r="K69" t="s">
        <v>352</v>
      </c>
    </row>
    <row r="70" spans="1:11" x14ac:dyDescent="0.45">
      <c r="A70" s="2" t="b">
        <v>1</v>
      </c>
      <c r="B70" s="2" t="b">
        <v>1</v>
      </c>
      <c r="C70" s="2" t="b">
        <v>0</v>
      </c>
      <c r="D70" s="2" t="b">
        <v>1</v>
      </c>
      <c r="E70" s="3" t="str">
        <f>HYPERLINK(ICCS[[#This Row],[Folder Path]]&amp;ICCS[[#This Row],[Name]], "เปิดไฟล์")</f>
        <v>เปิดไฟล์</v>
      </c>
      <c r="F70" t="s">
        <v>355</v>
      </c>
      <c r="G70" t="s">
        <v>24</v>
      </c>
      <c r="H70" s="1">
        <v>46057.575629027779</v>
      </c>
      <c r="I70" s="1">
        <v>45989.812256030091</v>
      </c>
      <c r="J70" s="1">
        <v>45989.723080451389</v>
      </c>
      <c r="K70" t="s">
        <v>352</v>
      </c>
    </row>
    <row r="71" spans="1:11" x14ac:dyDescent="0.45">
      <c r="A71" s="2" t="b">
        <v>1</v>
      </c>
      <c r="B71" s="2" t="b">
        <v>1</v>
      </c>
      <c r="C71" s="2" t="b">
        <v>0</v>
      </c>
      <c r="D71" s="2" t="b">
        <v>1</v>
      </c>
      <c r="E71" s="3" t="str">
        <f>HYPERLINK(ICCS[[#This Row],[Folder Path]]&amp;ICCS[[#This Row],[Name]], "เปิดไฟล์")</f>
        <v>เปิดไฟล์</v>
      </c>
      <c r="F71" t="s">
        <v>356</v>
      </c>
      <c r="G71" t="s">
        <v>24</v>
      </c>
      <c r="H71" s="1">
        <v>46057.575628796294</v>
      </c>
      <c r="I71" s="1">
        <v>45989.723583356485</v>
      </c>
      <c r="J71" s="1">
        <v>45989.723580196762</v>
      </c>
      <c r="K71" t="s">
        <v>352</v>
      </c>
    </row>
    <row r="72" spans="1:11" x14ac:dyDescent="0.45">
      <c r="A72" s="2" t="b">
        <v>1</v>
      </c>
      <c r="B72" s="2" t="b">
        <v>1</v>
      </c>
      <c r="C72" s="2" t="b">
        <v>0</v>
      </c>
      <c r="D72" s="2" t="b">
        <v>1</v>
      </c>
      <c r="E72" s="3" t="str">
        <f>HYPERLINK(ICCS[[#This Row],[Folder Path]]&amp;ICCS[[#This Row],[Name]], "เปิดไฟล์")</f>
        <v>เปิดไฟล์</v>
      </c>
      <c r="F72" t="s">
        <v>357</v>
      </c>
      <c r="G72" t="s">
        <v>24</v>
      </c>
      <c r="H72" s="1">
        <v>46057.575628819446</v>
      </c>
      <c r="I72" s="1">
        <v>45989.727871111114</v>
      </c>
      <c r="J72" s="1">
        <v>45989.727867291665</v>
      </c>
      <c r="K72" t="s">
        <v>352</v>
      </c>
    </row>
    <row r="73" spans="1:11" x14ac:dyDescent="0.45">
      <c r="A73" s="2" t="b">
        <v>1</v>
      </c>
      <c r="B73" s="2" t="b">
        <v>1</v>
      </c>
      <c r="C73" s="2" t="b">
        <v>0</v>
      </c>
      <c r="D73" s="2" t="b">
        <v>1</v>
      </c>
      <c r="E73" s="3" t="str">
        <f>HYPERLINK(ICCS[[#This Row],[Folder Path]]&amp;ICCS[[#This Row],[Name]], "เปิดไฟล์")</f>
        <v>เปิดไฟล์</v>
      </c>
      <c r="F73" t="s">
        <v>358</v>
      </c>
      <c r="G73" t="s">
        <v>24</v>
      </c>
      <c r="H73" s="1">
        <v>46057.575628900464</v>
      </c>
      <c r="I73" s="1">
        <v>45992.482720266205</v>
      </c>
      <c r="J73" s="1">
        <v>45992.482717349536</v>
      </c>
      <c r="K73" t="s">
        <v>359</v>
      </c>
    </row>
    <row r="74" spans="1:11" x14ac:dyDescent="0.45">
      <c r="A74" s="2" t="b">
        <v>1</v>
      </c>
      <c r="B74" s="2" t="b">
        <v>1</v>
      </c>
      <c r="C74" s="2" t="b">
        <v>0</v>
      </c>
      <c r="D74" s="2" t="b">
        <v>1</v>
      </c>
      <c r="E74" s="3" t="str">
        <f>HYPERLINK(ICCS[[#This Row],[Folder Path]]&amp;ICCS[[#This Row],[Name]], "เปิดไฟล์")</f>
        <v>เปิดไฟล์</v>
      </c>
      <c r="F74" t="s">
        <v>360</v>
      </c>
      <c r="G74" t="s">
        <v>24</v>
      </c>
      <c r="H74" s="1">
        <v>46057.575629085652</v>
      </c>
      <c r="I74" s="1">
        <v>46000.581356793984</v>
      </c>
      <c r="J74" s="1">
        <v>45992.591076724537</v>
      </c>
      <c r="K74" t="s">
        <v>359</v>
      </c>
    </row>
    <row r="75" spans="1:11" x14ac:dyDescent="0.45">
      <c r="A75" s="2" t="b">
        <v>1</v>
      </c>
      <c r="B75" s="2" t="b">
        <v>1</v>
      </c>
      <c r="C75" s="2" t="b">
        <v>0</v>
      </c>
      <c r="D75" s="2" t="b">
        <v>1</v>
      </c>
      <c r="E75" s="3" t="str">
        <f>HYPERLINK(ICCS[[#This Row],[Folder Path]]&amp;ICCS[[#This Row],[Name]], "เปิดไฟล์")</f>
        <v>เปิดไฟล์</v>
      </c>
      <c r="F75" t="s">
        <v>361</v>
      </c>
      <c r="G75" t="s">
        <v>24</v>
      </c>
      <c r="H75" s="1">
        <v>46057.575629120372</v>
      </c>
      <c r="I75" s="1">
        <v>45992.591899224535</v>
      </c>
      <c r="J75" s="1">
        <v>45992.591896168982</v>
      </c>
      <c r="K75" t="s">
        <v>359</v>
      </c>
    </row>
    <row r="76" spans="1:11" x14ac:dyDescent="0.45">
      <c r="A76" s="2" t="b">
        <v>1</v>
      </c>
      <c r="B76" s="2" t="b">
        <v>1</v>
      </c>
      <c r="C76" s="2" t="b">
        <v>0</v>
      </c>
      <c r="D76" s="2" t="b">
        <v>1</v>
      </c>
      <c r="E76" s="3" t="str">
        <f>HYPERLINK(ICCS[[#This Row],[Folder Path]]&amp;ICCS[[#This Row],[Name]], "เปิดไฟล์")</f>
        <v>เปิดไฟล์</v>
      </c>
      <c r="F76" t="s">
        <v>362</v>
      </c>
      <c r="G76" t="s">
        <v>24</v>
      </c>
      <c r="H76" s="1">
        <v>46057.575629085652</v>
      </c>
      <c r="I76" s="1">
        <v>45992.598435347223</v>
      </c>
      <c r="J76" s="1">
        <v>45992.5984325463</v>
      </c>
      <c r="K76" t="s">
        <v>359</v>
      </c>
    </row>
    <row r="77" spans="1:11" x14ac:dyDescent="0.45">
      <c r="A77" s="2" t="b">
        <v>1</v>
      </c>
      <c r="B77" s="2" t="b">
        <v>1</v>
      </c>
      <c r="C77" s="2" t="b">
        <v>0</v>
      </c>
      <c r="D77" s="2" t="b">
        <v>1</v>
      </c>
      <c r="E77" s="3" t="str">
        <f>HYPERLINK(ICCS[[#This Row],[Folder Path]]&amp;ICCS[[#This Row],[Name]], "เปิดไฟล์")</f>
        <v>เปิดไฟล์</v>
      </c>
      <c r="F77" t="s">
        <v>363</v>
      </c>
      <c r="G77" t="s">
        <v>24</v>
      </c>
      <c r="H77" s="1">
        <v>46057.575629166669</v>
      </c>
      <c r="I77" s="1">
        <v>45992.600812789351</v>
      </c>
      <c r="J77" s="1">
        <v>45992.600809826392</v>
      </c>
      <c r="K77" t="s">
        <v>359</v>
      </c>
    </row>
    <row r="78" spans="1:11" x14ac:dyDescent="0.45">
      <c r="A78" s="2" t="b">
        <v>1</v>
      </c>
      <c r="B78" s="2" t="b">
        <v>1</v>
      </c>
      <c r="C78" s="2" t="b">
        <v>0</v>
      </c>
      <c r="D78" s="2" t="b">
        <v>1</v>
      </c>
      <c r="E78" s="3" t="str">
        <f>HYPERLINK(ICCS[[#This Row],[Folder Path]]&amp;ICCS[[#This Row],[Name]], "เปิดไฟล์")</f>
        <v>เปิดไฟล์</v>
      </c>
      <c r="F78" t="s">
        <v>364</v>
      </c>
      <c r="G78" t="s">
        <v>24</v>
      </c>
      <c r="H78" s="1">
        <v>46057.575629143517</v>
      </c>
      <c r="I78" s="1">
        <v>45992.621821446759</v>
      </c>
      <c r="J78" s="1">
        <v>45992.621818506945</v>
      </c>
      <c r="K78" t="s">
        <v>359</v>
      </c>
    </row>
    <row r="79" spans="1:11" x14ac:dyDescent="0.45">
      <c r="A79" s="2" t="b">
        <v>1</v>
      </c>
      <c r="B79" s="2" t="b">
        <v>1</v>
      </c>
      <c r="C79" s="2" t="b">
        <v>0</v>
      </c>
      <c r="D79" s="2" t="b">
        <v>1</v>
      </c>
      <c r="E79" s="3" t="str">
        <f>HYPERLINK(ICCS[[#This Row],[Folder Path]]&amp;ICCS[[#This Row],[Name]], "เปิดไฟล์")</f>
        <v>เปิดไฟล์</v>
      </c>
      <c r="F79" t="s">
        <v>365</v>
      </c>
      <c r="G79" t="s">
        <v>24</v>
      </c>
      <c r="H79" s="1">
        <v>46057.575629317129</v>
      </c>
      <c r="I79" s="1">
        <v>45992.647155127313</v>
      </c>
      <c r="J79" s="1">
        <v>45992.647151967591</v>
      </c>
      <c r="K79" t="s">
        <v>359</v>
      </c>
    </row>
    <row r="80" spans="1:11" x14ac:dyDescent="0.45">
      <c r="A80" s="2" t="b">
        <v>1</v>
      </c>
      <c r="B80" s="2" t="b">
        <v>1</v>
      </c>
      <c r="C80" s="2" t="b">
        <v>0</v>
      </c>
      <c r="D80" s="2" t="b">
        <v>1</v>
      </c>
      <c r="E80" s="3" t="str">
        <f>HYPERLINK(ICCS[[#This Row],[Folder Path]]&amp;ICCS[[#This Row],[Name]], "เปิดไฟล์")</f>
        <v>เปิดไฟล์</v>
      </c>
      <c r="F80" t="s">
        <v>366</v>
      </c>
      <c r="G80" t="s">
        <v>24</v>
      </c>
      <c r="H80" s="1">
        <v>46057.575629317129</v>
      </c>
      <c r="I80" s="1">
        <v>45992.647332488428</v>
      </c>
      <c r="J80" s="1">
        <v>45992.647329131942</v>
      </c>
      <c r="K80" t="s">
        <v>359</v>
      </c>
    </row>
    <row r="81" spans="1:11" x14ac:dyDescent="0.45">
      <c r="A81" s="2" t="b">
        <v>1</v>
      </c>
      <c r="B81" s="2" t="b">
        <v>1</v>
      </c>
      <c r="C81" s="2" t="b">
        <v>0</v>
      </c>
      <c r="D81" s="2" t="b">
        <v>1</v>
      </c>
      <c r="E81" s="3" t="str">
        <f>HYPERLINK(ICCS[[#This Row],[Folder Path]]&amp;ICCS[[#This Row],[Name]], "เปิดไฟล์")</f>
        <v>เปิดไฟล์</v>
      </c>
      <c r="F81" t="s">
        <v>367</v>
      </c>
      <c r="G81" t="s">
        <v>24</v>
      </c>
      <c r="H81" s="1">
        <v>46057.575629618055</v>
      </c>
      <c r="I81" s="1">
        <v>45992.64753209491</v>
      </c>
      <c r="J81" s="1">
        <v>45992.647528807873</v>
      </c>
      <c r="K81" t="s">
        <v>359</v>
      </c>
    </row>
    <row r="82" spans="1:11" x14ac:dyDescent="0.45">
      <c r="A82" s="2" t="b">
        <v>1</v>
      </c>
      <c r="B82" s="2" t="b">
        <v>1</v>
      </c>
      <c r="C82" s="2" t="b">
        <v>0</v>
      </c>
      <c r="D82" s="2" t="b">
        <v>1</v>
      </c>
      <c r="E82" s="3" t="str">
        <f>HYPERLINK(ICCS[[#This Row],[Folder Path]]&amp;ICCS[[#This Row],[Name]], "เปิดไฟล์")</f>
        <v>เปิดไฟล์</v>
      </c>
      <c r="F82" t="s">
        <v>368</v>
      </c>
      <c r="G82" t="s">
        <v>24</v>
      </c>
      <c r="H82" s="1">
        <v>46057.575629386571</v>
      </c>
      <c r="I82" s="1">
        <v>45993.433886828701</v>
      </c>
      <c r="J82" s="1">
        <v>45993.433884270831</v>
      </c>
      <c r="K82" t="s">
        <v>359</v>
      </c>
    </row>
    <row r="83" spans="1:11" x14ac:dyDescent="0.45">
      <c r="A83" s="2" t="b">
        <v>1</v>
      </c>
      <c r="B83" s="2" t="b">
        <v>1</v>
      </c>
      <c r="C83" s="2" t="b">
        <v>0</v>
      </c>
      <c r="D83" s="2" t="b">
        <v>1</v>
      </c>
      <c r="E83" s="3" t="str">
        <f>HYPERLINK(ICCS[[#This Row],[Folder Path]]&amp;ICCS[[#This Row],[Name]], "เปิดไฟล์")</f>
        <v>เปิดไฟล์</v>
      </c>
      <c r="F83" t="s">
        <v>369</v>
      </c>
      <c r="G83" t="s">
        <v>24</v>
      </c>
      <c r="H83" s="1">
        <v>46057.575629432868</v>
      </c>
      <c r="I83" s="1">
        <v>45993.44303642361</v>
      </c>
      <c r="J83" s="1">
        <v>45993.434020231478</v>
      </c>
      <c r="K83" t="s">
        <v>359</v>
      </c>
    </row>
    <row r="84" spans="1:11" x14ac:dyDescent="0.45">
      <c r="A84" s="2" t="b">
        <v>1</v>
      </c>
      <c r="B84" s="2" t="b">
        <v>1</v>
      </c>
      <c r="C84" s="2" t="b">
        <v>0</v>
      </c>
      <c r="D84" s="2" t="b">
        <v>1</v>
      </c>
      <c r="E84" s="3" t="str">
        <f>HYPERLINK(ICCS[[#This Row],[Folder Path]]&amp;ICCS[[#This Row],[Name]], "เปิดไฟล์")</f>
        <v>เปิดไฟล์</v>
      </c>
      <c r="F84" t="s">
        <v>394</v>
      </c>
      <c r="G84" t="s">
        <v>24</v>
      </c>
      <c r="H84" s="1">
        <v>46066.625369085647</v>
      </c>
      <c r="I84" s="1">
        <v>46003.619944814818</v>
      </c>
      <c r="J84" s="1">
        <v>46003.619941030091</v>
      </c>
      <c r="K84" t="s">
        <v>395</v>
      </c>
    </row>
    <row r="85" spans="1:11" x14ac:dyDescent="0.45">
      <c r="A85" s="2" t="b">
        <v>1</v>
      </c>
      <c r="B85" s="2" t="b">
        <v>1</v>
      </c>
      <c r="C85" s="2" t="b">
        <v>0</v>
      </c>
      <c r="D85" s="2" t="b">
        <v>1</v>
      </c>
      <c r="E85" s="3" t="str">
        <f>HYPERLINK(ICCS[[#This Row],[Folder Path]]&amp;ICCS[[#This Row],[Name]], "เปิดไฟล์")</f>
        <v>เปิดไฟล์</v>
      </c>
      <c r="F85" t="s">
        <v>396</v>
      </c>
      <c r="G85" t="s">
        <v>24</v>
      </c>
      <c r="H85" s="1">
        <v>46057.575629560182</v>
      </c>
      <c r="I85" s="1">
        <v>46003.620032939813</v>
      </c>
      <c r="J85" s="1">
        <v>46003.620029444442</v>
      </c>
      <c r="K85" t="s">
        <v>395</v>
      </c>
    </row>
    <row r="86" spans="1:11" x14ac:dyDescent="0.45">
      <c r="A86" s="2" t="b">
        <v>1</v>
      </c>
      <c r="B86" s="2" t="b">
        <v>1</v>
      </c>
      <c r="C86" s="2" t="b">
        <v>0</v>
      </c>
      <c r="D86" s="2" t="b">
        <v>1</v>
      </c>
      <c r="E86" s="3" t="str">
        <f>HYPERLINK(ICCS[[#This Row],[Folder Path]]&amp;ICCS[[#This Row],[Name]], "เปิดไฟล์")</f>
        <v>เปิดไฟล์</v>
      </c>
      <c r="F86" t="s">
        <v>397</v>
      </c>
      <c r="G86" t="s">
        <v>24</v>
      </c>
      <c r="H86" s="1">
        <v>46057.575629722225</v>
      </c>
      <c r="I86" s="1">
        <v>46003.642319131941</v>
      </c>
      <c r="J86" s="1">
        <v>46003.620127118054</v>
      </c>
      <c r="K86" t="s">
        <v>395</v>
      </c>
    </row>
    <row r="87" spans="1:11" x14ac:dyDescent="0.45">
      <c r="A87" s="2" t="b">
        <v>1</v>
      </c>
      <c r="B87" s="2" t="b">
        <v>1</v>
      </c>
      <c r="C87" s="2" t="b">
        <v>0</v>
      </c>
      <c r="D87" s="2" t="b">
        <v>1</v>
      </c>
      <c r="E87" s="3" t="str">
        <f>HYPERLINK(ICCS[[#This Row],[Folder Path]]&amp;ICCS[[#This Row],[Name]], "เปิดไฟล์")</f>
        <v>เปิดไฟล์</v>
      </c>
      <c r="F87" t="s">
        <v>404</v>
      </c>
      <c r="G87" t="s">
        <v>24</v>
      </c>
      <c r="H87" s="1">
        <v>46057.575629629631</v>
      </c>
      <c r="I87" s="1">
        <v>46013.458930312503</v>
      </c>
      <c r="J87" s="1">
        <v>46013.458926851854</v>
      </c>
      <c r="K87" t="s">
        <v>405</v>
      </c>
    </row>
    <row r="88" spans="1:11" x14ac:dyDescent="0.45">
      <c r="A88" s="2" t="b">
        <v>1</v>
      </c>
      <c r="B88" s="2" t="b">
        <v>1</v>
      </c>
      <c r="C88" s="2" t="b">
        <v>0</v>
      </c>
      <c r="D88" s="2" t="b">
        <v>1</v>
      </c>
      <c r="E88" s="3" t="str">
        <f>HYPERLINK(ICCS[[#This Row],[Folder Path]]&amp;ICCS[[#This Row],[Name]], "เปิดไฟล์")</f>
        <v>เปิดไฟล์</v>
      </c>
      <c r="F88" t="s">
        <v>406</v>
      </c>
      <c r="G88" t="s">
        <v>24</v>
      </c>
      <c r="H88" s="1">
        <v>46057.575629837964</v>
      </c>
      <c r="I88" s="1">
        <v>46013.459735763892</v>
      </c>
      <c r="J88" s="1">
        <v>46013.459732557872</v>
      </c>
      <c r="K88" t="s">
        <v>405</v>
      </c>
    </row>
    <row r="89" spans="1:11" x14ac:dyDescent="0.45">
      <c r="A89" s="2" t="b">
        <v>1</v>
      </c>
      <c r="B89" s="2" t="b">
        <v>1</v>
      </c>
      <c r="C89" s="2" t="b">
        <v>0</v>
      </c>
      <c r="D89" s="2" t="b">
        <v>1</v>
      </c>
      <c r="E89" s="3" t="str">
        <f>HYPERLINK(ICCS[[#This Row],[Folder Path]]&amp;ICCS[[#This Row],[Name]], "เปิดไฟล์")</f>
        <v>เปิดไฟล์</v>
      </c>
      <c r="F89" t="s">
        <v>407</v>
      </c>
      <c r="G89" t="s">
        <v>24</v>
      </c>
      <c r="H89" s="1">
        <v>46057.575629942126</v>
      </c>
      <c r="I89" s="1">
        <v>46013.459271192129</v>
      </c>
      <c r="J89" s="1">
        <v>46013.459268148152</v>
      </c>
      <c r="K89" t="s">
        <v>405</v>
      </c>
    </row>
    <row r="90" spans="1:11" x14ac:dyDescent="0.45">
      <c r="A90" s="2" t="b">
        <v>1</v>
      </c>
      <c r="B90" s="2" t="b">
        <v>1</v>
      </c>
      <c r="C90" s="2" t="b">
        <v>0</v>
      </c>
      <c r="D90" s="2" t="b">
        <v>1</v>
      </c>
      <c r="E90" s="3" t="str">
        <f>HYPERLINK(ICCS[[#This Row],[Folder Path]]&amp;ICCS[[#This Row],[Name]], "เปิดไฟล์")</f>
        <v>เปิดไฟล์</v>
      </c>
      <c r="F90" t="s">
        <v>408</v>
      </c>
      <c r="G90" t="s">
        <v>24</v>
      </c>
      <c r="H90" s="1">
        <v>46057.575629999999</v>
      </c>
      <c r="I90" s="1">
        <v>46013.459540671298</v>
      </c>
      <c r="J90" s="1">
        <v>46013.459537708331</v>
      </c>
      <c r="K90" t="s">
        <v>405</v>
      </c>
    </row>
    <row r="91" spans="1:11" x14ac:dyDescent="0.45">
      <c r="A91" s="2" t="b">
        <v>1</v>
      </c>
      <c r="B91" s="2" t="b">
        <v>1</v>
      </c>
      <c r="C91" s="7" t="b">
        <v>1</v>
      </c>
      <c r="D91" s="2" t="b">
        <v>1</v>
      </c>
      <c r="E91" s="3" t="str">
        <f>HYPERLINK(ICCS[[#This Row],[Folder Path]]&amp;ICCS[[#This Row],[Name]], "เปิดไฟล์")</f>
        <v>เปิดไฟล์</v>
      </c>
      <c r="F91" t="s">
        <v>413</v>
      </c>
      <c r="G91" t="s">
        <v>24</v>
      </c>
      <c r="H91" s="1">
        <v>46057.57562984954</v>
      </c>
      <c r="I91" s="1">
        <v>46029.417186030092</v>
      </c>
      <c r="J91" s="1">
        <v>46029.417183495367</v>
      </c>
      <c r="K91" t="s">
        <v>414</v>
      </c>
    </row>
    <row r="92" spans="1:11" x14ac:dyDescent="0.45">
      <c r="A92" s="2" t="b">
        <v>0</v>
      </c>
      <c r="B92" s="2" t="b">
        <v>1</v>
      </c>
      <c r="C92" s="2" t="b">
        <v>1</v>
      </c>
      <c r="D92" s="2" t="b">
        <v>1</v>
      </c>
      <c r="E92" s="3" t="str">
        <f>HYPERLINK(ICCS[[#This Row],[Folder Path]]&amp;ICCS[[#This Row],[Name]], "เปิดไฟล์")</f>
        <v>เปิดไฟล์</v>
      </c>
      <c r="F92" t="s">
        <v>431</v>
      </c>
      <c r="G92" t="s">
        <v>432</v>
      </c>
      <c r="H92" s="1">
        <v>46057.77961690972</v>
      </c>
      <c r="I92" s="1">
        <v>46057.77961690972</v>
      </c>
      <c r="J92" s="1">
        <v>46057.764965960647</v>
      </c>
      <c r="K92" t="s">
        <v>433</v>
      </c>
    </row>
    <row r="93" spans="1:11" x14ac:dyDescent="0.45">
      <c r="A93" s="2" t="b">
        <v>0</v>
      </c>
      <c r="B93" s="2" t="b">
        <v>1</v>
      </c>
      <c r="C93" s="2" t="b">
        <v>1</v>
      </c>
      <c r="D93" s="2" t="b">
        <v>0</v>
      </c>
      <c r="E93" s="3" t="str">
        <f>HYPERLINK(ICCS[[#This Row],[Folder Path]]&amp;ICCS[[#This Row],[Name]], "เปิดไฟล์")</f>
        <v>เปิดไฟล์</v>
      </c>
      <c r="F93" t="s">
        <v>437</v>
      </c>
      <c r="G93" t="s">
        <v>24</v>
      </c>
      <c r="H93" s="1">
        <v>46107.498050034723</v>
      </c>
      <c r="I93" s="1">
        <v>46059.763174409723</v>
      </c>
      <c r="J93" s="1">
        <v>46059.653345486113</v>
      </c>
      <c r="K93" t="s">
        <v>438</v>
      </c>
    </row>
    <row r="94" spans="1:11" x14ac:dyDescent="0.45">
      <c r="A94" s="2" t="b">
        <v>0</v>
      </c>
      <c r="B94" s="2" t="b">
        <v>1</v>
      </c>
      <c r="C94" s="2" t="b">
        <v>1</v>
      </c>
      <c r="D94" s="2" t="b">
        <v>0</v>
      </c>
      <c r="E94" s="3" t="str">
        <f>HYPERLINK(ICCS[[#This Row],[Folder Path]]&amp;ICCS[[#This Row],[Name]], "เปิดไฟล์")</f>
        <v>เปิดไฟล์</v>
      </c>
      <c r="F94" t="s">
        <v>439</v>
      </c>
      <c r="G94" t="s">
        <v>24</v>
      </c>
      <c r="H94" s="1">
        <v>46059.732660543981</v>
      </c>
      <c r="I94" s="1">
        <v>46059.683146759256</v>
      </c>
      <c r="J94" s="1">
        <v>46059.683143668983</v>
      </c>
      <c r="K94" t="s">
        <v>438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E98E-2324-4339-B930-D7A300E90D55}">
  <sheetPr>
    <tabColor rgb="FF00B050"/>
  </sheetPr>
  <dimension ref="A1:J83"/>
  <sheetViews>
    <sheetView tabSelected="1" workbookViewId="0">
      <pane ySplit="1" topLeftCell="A72" activePane="bottomLeft" state="frozen"/>
      <selection pane="bottomLeft" activeCell="E87" sqref="E87"/>
    </sheetView>
  </sheetViews>
  <sheetFormatPr defaultRowHeight="16.5" x14ac:dyDescent="0.45"/>
  <cols>
    <col min="5" max="5" width="57.58203125" bestFit="1" customWidth="1"/>
    <col min="6" max="6" width="11.33203125" bestFit="1" customWidth="1"/>
    <col min="7" max="7" width="15.33203125" bestFit="1" customWidth="1"/>
    <col min="8" max="8" width="15.4140625" bestFit="1" customWidth="1"/>
    <col min="9" max="9" width="14.25" bestFit="1" customWidth="1"/>
    <col min="10" max="10" width="52.9140625" bestFit="1" customWidth="1"/>
  </cols>
  <sheetData>
    <row r="1" spans="1:10" x14ac:dyDescent="0.45">
      <c r="A1" s="4" t="s">
        <v>21</v>
      </c>
      <c r="B1" s="4" t="s">
        <v>22</v>
      </c>
      <c r="C1" s="4" t="s">
        <v>23</v>
      </c>
      <c r="D1" s="4"/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45">
      <c r="A2" s="2" t="b">
        <v>1</v>
      </c>
      <c r="B2" s="2" t="b">
        <v>1</v>
      </c>
      <c r="C2" s="2" t="b">
        <v>0</v>
      </c>
      <c r="D2" s="3" t="str">
        <f>HYPERLINK(ECT[[#This Row],[Folder Path]]&amp;ECT[[#This Row],[Name]], "เปิดไฟล์")</f>
        <v>เปิดไฟล์</v>
      </c>
      <c r="E2" t="s">
        <v>88</v>
      </c>
      <c r="F2" t="s">
        <v>24</v>
      </c>
      <c r="G2" s="1">
        <v>46057.575625613426</v>
      </c>
      <c r="H2" s="1">
        <v>45917.469821192128</v>
      </c>
      <c r="I2" s="1">
        <v>45917.470080590276</v>
      </c>
      <c r="J2" t="s">
        <v>92</v>
      </c>
    </row>
    <row r="3" spans="1:10" x14ac:dyDescent="0.45">
      <c r="A3" s="2" t="b">
        <v>1</v>
      </c>
      <c r="B3" s="2" t="b">
        <v>1</v>
      </c>
      <c r="C3" s="2" t="b">
        <v>0</v>
      </c>
      <c r="D3" s="3" t="str">
        <f>HYPERLINK(ECT[[#This Row],[Folder Path]]&amp;ECT[[#This Row],[Name]], "เปิดไฟล์")</f>
        <v>เปิดไฟล์</v>
      </c>
      <c r="E3" t="s">
        <v>100</v>
      </c>
      <c r="F3" t="s">
        <v>24</v>
      </c>
      <c r="G3" s="1">
        <v>46057.575625648147</v>
      </c>
      <c r="H3" s="1">
        <v>45923.574870312499</v>
      </c>
      <c r="I3" s="1">
        <v>45923.575142939815</v>
      </c>
      <c r="J3" t="s">
        <v>104</v>
      </c>
    </row>
    <row r="4" spans="1:10" x14ac:dyDescent="0.45">
      <c r="A4" s="2" t="b">
        <v>1</v>
      </c>
      <c r="B4" s="2" t="b">
        <v>1</v>
      </c>
      <c r="C4" s="2" t="b">
        <v>0</v>
      </c>
      <c r="D4" s="3" t="str">
        <f>HYPERLINK(ECT[[#This Row],[Folder Path]]&amp;ECT[[#This Row],[Name]], "เปิดไฟล์")</f>
        <v>เปิดไฟล์</v>
      </c>
      <c r="E4" t="s">
        <v>418</v>
      </c>
      <c r="F4" t="s">
        <v>24</v>
      </c>
      <c r="G4" s="1">
        <v>46057.575625694444</v>
      </c>
      <c r="H4" s="1">
        <v>46041.7311628588</v>
      </c>
      <c r="I4" s="1">
        <v>46041.731160011572</v>
      </c>
      <c r="J4" t="s">
        <v>419</v>
      </c>
    </row>
    <row r="5" spans="1:10" x14ac:dyDescent="0.45">
      <c r="A5" s="2" t="b">
        <v>1</v>
      </c>
      <c r="B5" s="2" t="b">
        <v>1</v>
      </c>
      <c r="C5" s="2" t="b">
        <v>0</v>
      </c>
      <c r="D5" s="3" t="str">
        <f>HYPERLINK(ECT[[#This Row],[Folder Path]]&amp;ECT[[#This Row],[Name]], "เปิดไฟล์")</f>
        <v>เปิดไฟล์</v>
      </c>
      <c r="E5" t="s">
        <v>420</v>
      </c>
      <c r="F5" t="s">
        <v>24</v>
      </c>
      <c r="G5" s="1">
        <v>46057.575625682868</v>
      </c>
      <c r="H5" s="1">
        <v>46041.731533483799</v>
      </c>
      <c r="I5" s="1">
        <v>46041.731530474535</v>
      </c>
      <c r="J5" t="s">
        <v>419</v>
      </c>
    </row>
    <row r="6" spans="1:10" x14ac:dyDescent="0.45">
      <c r="A6" s="2" t="b">
        <v>1</v>
      </c>
      <c r="B6" s="2" t="b">
        <v>1</v>
      </c>
      <c r="C6" s="2" t="b">
        <v>0</v>
      </c>
      <c r="D6" s="3" t="str">
        <f>HYPERLINK(ECT[[#This Row],[Folder Path]]&amp;ECT[[#This Row],[Name]], "เปิดไฟล์")</f>
        <v>เปิดไฟล์</v>
      </c>
      <c r="E6" t="s">
        <v>421</v>
      </c>
      <c r="F6" t="s">
        <v>24</v>
      </c>
      <c r="G6" s="1">
        <v>46057.575625682868</v>
      </c>
      <c r="H6" s="1">
        <v>46042.612748368054</v>
      </c>
      <c r="I6" s="1">
        <v>46041.773180810182</v>
      </c>
      <c r="J6" t="s">
        <v>419</v>
      </c>
    </row>
    <row r="7" spans="1:10" x14ac:dyDescent="0.45">
      <c r="A7" s="2" t="b">
        <v>1</v>
      </c>
      <c r="B7" s="2" t="b">
        <v>1</v>
      </c>
      <c r="C7" s="2" t="b">
        <v>0</v>
      </c>
      <c r="D7" s="3" t="str">
        <f>HYPERLINK(ECT[[#This Row],[Folder Path]]&amp;ECT[[#This Row],[Name]], "เปิดไฟล์")</f>
        <v>เปิดไฟล์</v>
      </c>
      <c r="E7" t="s">
        <v>440</v>
      </c>
      <c r="F7" t="s">
        <v>24</v>
      </c>
      <c r="G7" s="1">
        <v>46066.830949814816</v>
      </c>
      <c r="H7" s="1">
        <v>46066.507416712964</v>
      </c>
      <c r="I7" s="1">
        <v>46066.507412719904</v>
      </c>
      <c r="J7" t="s">
        <v>441</v>
      </c>
    </row>
    <row r="8" spans="1:10" x14ac:dyDescent="0.45">
      <c r="A8" s="2" t="b">
        <v>1</v>
      </c>
      <c r="B8" s="2" t="b">
        <v>1</v>
      </c>
      <c r="C8" s="2" t="b">
        <v>0</v>
      </c>
      <c r="D8" s="3" t="str">
        <f>HYPERLINK(ECT[[#This Row],[Folder Path]]&amp;ECT[[#This Row],[Name]], "เปิดไฟล์")</f>
        <v>เปิดไฟล์</v>
      </c>
      <c r="E8" t="s">
        <v>442</v>
      </c>
      <c r="F8" t="s">
        <v>24</v>
      </c>
      <c r="G8" s="1">
        <v>46066.507561064813</v>
      </c>
      <c r="H8" s="1">
        <v>46066.507561064813</v>
      </c>
      <c r="I8" s="1">
        <v>46066.507557847224</v>
      </c>
      <c r="J8" t="s">
        <v>441</v>
      </c>
    </row>
    <row r="9" spans="1:10" x14ac:dyDescent="0.45">
      <c r="A9" s="2" t="b">
        <v>1</v>
      </c>
      <c r="B9" s="2" t="b">
        <v>1</v>
      </c>
      <c r="C9" s="2" t="b">
        <v>0</v>
      </c>
      <c r="D9" s="3" t="str">
        <f>HYPERLINK(ECT[[#This Row],[Folder Path]]&amp;ECT[[#This Row],[Name]], "เปิดไฟล์")</f>
        <v>เปิดไฟล์</v>
      </c>
      <c r="E9" t="s">
        <v>443</v>
      </c>
      <c r="F9" t="s">
        <v>24</v>
      </c>
      <c r="G9" s="1">
        <v>46066.831601689817</v>
      </c>
      <c r="H9" s="1">
        <v>46066.523746157407</v>
      </c>
      <c r="I9" s="1">
        <v>46066.523742789352</v>
      </c>
      <c r="J9" t="s">
        <v>441</v>
      </c>
    </row>
    <row r="10" spans="1:10" x14ac:dyDescent="0.45">
      <c r="A10" s="2" t="b">
        <v>1</v>
      </c>
      <c r="B10" s="2" t="b">
        <v>1</v>
      </c>
      <c r="C10" s="2" t="b">
        <v>0</v>
      </c>
      <c r="D10" s="3" t="str">
        <f>HYPERLINK(ECT[[#This Row],[Folder Path]]&amp;ECT[[#This Row],[Name]], "เปิดไฟล์")</f>
        <v>เปิดไฟล์</v>
      </c>
      <c r="E10" t="s">
        <v>444</v>
      </c>
      <c r="F10" t="s">
        <v>24</v>
      </c>
      <c r="G10" s="1">
        <v>46066.832406250003</v>
      </c>
      <c r="H10" s="1">
        <v>46066.523852939812</v>
      </c>
      <c r="I10" s="1">
        <v>46066.523849791665</v>
      </c>
      <c r="J10" t="s">
        <v>441</v>
      </c>
    </row>
    <row r="11" spans="1:10" x14ac:dyDescent="0.45">
      <c r="A11" s="2" t="b">
        <v>1</v>
      </c>
      <c r="B11" s="2" t="b">
        <v>1</v>
      </c>
      <c r="C11" s="2" t="b">
        <v>0</v>
      </c>
      <c r="D11" s="3" t="str">
        <f>HYPERLINK(ECT[[#This Row],[Folder Path]]&amp;ECT[[#This Row],[Name]], "เปิดไฟล์")</f>
        <v>เปิดไฟล์</v>
      </c>
      <c r="E11" t="s">
        <v>445</v>
      </c>
      <c r="F11" t="s">
        <v>24</v>
      </c>
      <c r="G11" s="1">
        <v>46066.832557951391</v>
      </c>
      <c r="H11" s="1">
        <v>46066.524079074072</v>
      </c>
      <c r="I11" s="1">
        <v>46066.524075671296</v>
      </c>
      <c r="J11" t="s">
        <v>441</v>
      </c>
    </row>
    <row r="12" spans="1:10" x14ac:dyDescent="0.45">
      <c r="A12" s="2" t="b">
        <v>1</v>
      </c>
      <c r="B12" s="2" t="b">
        <v>1</v>
      </c>
      <c r="C12" s="2" t="b">
        <v>0</v>
      </c>
      <c r="D12" s="3" t="str">
        <f>HYPERLINK(ECT[[#This Row],[Folder Path]]&amp;ECT[[#This Row],[Name]], "เปิดไฟล์")</f>
        <v>เปิดไฟล์</v>
      </c>
      <c r="E12" t="s">
        <v>453</v>
      </c>
      <c r="F12" t="s">
        <v>24</v>
      </c>
      <c r="G12" s="1">
        <v>46069.80225400463</v>
      </c>
      <c r="H12" s="1">
        <v>46069.80225400463</v>
      </c>
      <c r="I12" s="1">
        <v>46069.802250937501</v>
      </c>
      <c r="J12" t="s">
        <v>452</v>
      </c>
    </row>
    <row r="13" spans="1:10" x14ac:dyDescent="0.45">
      <c r="A13" s="2" t="b">
        <v>1</v>
      </c>
      <c r="B13" s="2" t="b">
        <v>1</v>
      </c>
      <c r="C13" s="2" t="b">
        <v>0</v>
      </c>
      <c r="D13" s="3" t="str">
        <f>HYPERLINK(ECT[[#This Row],[Folder Path]]&amp;ECT[[#This Row],[Name]], "เปิดไฟล์")</f>
        <v>เปิดไฟล์</v>
      </c>
      <c r="E13" t="s">
        <v>454</v>
      </c>
      <c r="F13" t="s">
        <v>24</v>
      </c>
      <c r="G13" s="1">
        <v>46069.80237946759</v>
      </c>
      <c r="H13" s="1">
        <v>46069.80237946759</v>
      </c>
      <c r="I13" s="1">
        <v>46069.802376550928</v>
      </c>
      <c r="J13" t="s">
        <v>452</v>
      </c>
    </row>
    <row r="14" spans="1:10" x14ac:dyDescent="0.45">
      <c r="A14" s="2" t="b">
        <v>1</v>
      </c>
      <c r="B14" s="2" t="b">
        <v>1</v>
      </c>
      <c r="C14" s="2" t="b">
        <v>0</v>
      </c>
      <c r="D14" s="3" t="str">
        <f>HYPERLINK(ECT[[#This Row],[Folder Path]]&amp;ECT[[#This Row],[Name]], "เปิดไฟล์")</f>
        <v>เปิดไฟล์</v>
      </c>
      <c r="E14" t="s">
        <v>455</v>
      </c>
      <c r="F14" t="s">
        <v>24</v>
      </c>
      <c r="G14" s="1">
        <v>46069.802508402776</v>
      </c>
      <c r="H14" s="1">
        <v>46069.802508402776</v>
      </c>
      <c r="I14" s="1">
        <v>46069.8025055787</v>
      </c>
      <c r="J14" t="s">
        <v>452</v>
      </c>
    </row>
    <row r="15" spans="1:10" x14ac:dyDescent="0.45">
      <c r="A15" s="2" t="b">
        <v>1</v>
      </c>
      <c r="B15" s="2" t="b">
        <v>1</v>
      </c>
      <c r="C15" s="2" t="b">
        <v>0</v>
      </c>
      <c r="D15" s="3" t="str">
        <f>HYPERLINK(ECT[[#This Row],[Folder Path]]&amp;ECT[[#This Row],[Name]], "เปิดไฟล์")</f>
        <v>เปิดไฟล์</v>
      </c>
      <c r="E15" t="s">
        <v>456</v>
      </c>
      <c r="F15" t="s">
        <v>24</v>
      </c>
      <c r="G15" s="1">
        <v>46069.802628472222</v>
      </c>
      <c r="H15" s="1">
        <v>46069.802628472222</v>
      </c>
      <c r="I15" s="1">
        <v>46069.802625833334</v>
      </c>
      <c r="J15" t="s">
        <v>452</v>
      </c>
    </row>
    <row r="16" spans="1:10" x14ac:dyDescent="0.45">
      <c r="A16" s="2" t="b">
        <v>1</v>
      </c>
      <c r="B16" s="2" t="b">
        <v>1</v>
      </c>
      <c r="C16" s="2" t="b">
        <v>0</v>
      </c>
      <c r="D16" s="3" t="str">
        <f>HYPERLINK(ECT[[#This Row],[Folder Path]]&amp;ECT[[#This Row],[Name]], "เปิดไฟล์")</f>
        <v>เปิดไฟล์</v>
      </c>
      <c r="E16" t="s">
        <v>457</v>
      </c>
      <c r="F16" t="s">
        <v>24</v>
      </c>
      <c r="G16" s="1">
        <v>46069.802795729163</v>
      </c>
      <c r="H16" s="1">
        <v>46069.802795729163</v>
      </c>
      <c r="I16" s="1">
        <v>46069.802793020834</v>
      </c>
      <c r="J16" t="s">
        <v>452</v>
      </c>
    </row>
    <row r="17" spans="1:10" x14ac:dyDescent="0.45">
      <c r="A17" s="2" t="b">
        <v>1</v>
      </c>
      <c r="B17" s="2" t="b">
        <v>1</v>
      </c>
      <c r="C17" s="2" t="b">
        <v>0</v>
      </c>
      <c r="D17" s="3" t="str">
        <f>HYPERLINK(ECT[[#This Row],[Folder Path]]&amp;ECT[[#This Row],[Name]], "เปิดไฟล์")</f>
        <v>เปิดไฟล์</v>
      </c>
      <c r="E17" t="s">
        <v>458</v>
      </c>
      <c r="F17" t="s">
        <v>24</v>
      </c>
      <c r="G17" s="1">
        <v>46069.803141203702</v>
      </c>
      <c r="H17" s="1">
        <v>46069.803141203702</v>
      </c>
      <c r="I17" s="1">
        <v>46069.803103425926</v>
      </c>
      <c r="J17" t="s">
        <v>452</v>
      </c>
    </row>
    <row r="18" spans="1:10" x14ac:dyDescent="0.45">
      <c r="A18" s="2" t="b">
        <v>1</v>
      </c>
      <c r="B18" s="2" t="b">
        <v>1</v>
      </c>
      <c r="C18" s="2" t="b">
        <v>0</v>
      </c>
      <c r="D18" s="3" t="str">
        <f>HYPERLINK(ECT[[#This Row],[Folder Path]]&amp;ECT[[#This Row],[Name]], "เปิดไฟล์")</f>
        <v>เปิดไฟล์</v>
      </c>
      <c r="E18" t="s">
        <v>459</v>
      </c>
      <c r="F18" t="s">
        <v>24</v>
      </c>
      <c r="G18" s="1">
        <v>46069.803300312502</v>
      </c>
      <c r="H18" s="1">
        <v>46069.803300312502</v>
      </c>
      <c r="I18" s="1">
        <v>46069.803297569444</v>
      </c>
      <c r="J18" t="s">
        <v>452</v>
      </c>
    </row>
    <row r="19" spans="1:10" x14ac:dyDescent="0.45">
      <c r="A19" s="2" t="b">
        <v>1</v>
      </c>
      <c r="B19" s="2" t="b">
        <v>1</v>
      </c>
      <c r="C19" s="2" t="b">
        <v>0</v>
      </c>
      <c r="D19" s="3" t="str">
        <f>HYPERLINK(ECT[[#This Row],[Folder Path]]&amp;ECT[[#This Row],[Name]], "เปิดไฟล์")</f>
        <v>เปิดไฟล์</v>
      </c>
      <c r="E19" t="s">
        <v>460</v>
      </c>
      <c r="F19" t="s">
        <v>24</v>
      </c>
      <c r="G19" s="1">
        <v>46069.803475925924</v>
      </c>
      <c r="H19" s="1">
        <v>46069.803475925924</v>
      </c>
      <c r="I19" s="1">
        <v>46069.803473287036</v>
      </c>
      <c r="J19" t="s">
        <v>452</v>
      </c>
    </row>
    <row r="20" spans="1:10" x14ac:dyDescent="0.45">
      <c r="A20" s="2" t="b">
        <v>1</v>
      </c>
      <c r="B20" s="2" t="b">
        <v>1</v>
      </c>
      <c r="C20" s="2" t="b">
        <v>0</v>
      </c>
      <c r="D20" s="3" t="str">
        <f>HYPERLINK(ECT[[#This Row],[Folder Path]]&amp;ECT[[#This Row],[Name]], "เปิดไฟล์")</f>
        <v>เปิดไฟล์</v>
      </c>
      <c r="E20" t="s">
        <v>467</v>
      </c>
      <c r="F20" t="s">
        <v>24</v>
      </c>
      <c r="G20" s="1">
        <v>46069.805377546298</v>
      </c>
      <c r="H20" s="1">
        <v>46069.803662962964</v>
      </c>
      <c r="I20" s="1">
        <v>46069.803660231482</v>
      </c>
      <c r="J20" t="s">
        <v>452</v>
      </c>
    </row>
    <row r="21" spans="1:10" x14ac:dyDescent="0.45">
      <c r="A21" s="2" t="b">
        <v>1</v>
      </c>
      <c r="B21" s="2" t="b">
        <v>1</v>
      </c>
      <c r="C21" s="2" t="b">
        <v>0</v>
      </c>
      <c r="D21" s="3" t="str">
        <f>HYPERLINK(ECT[[#This Row],[Folder Path]]&amp;ECT[[#This Row],[Name]], "เปิดไฟล์")</f>
        <v>เปิดไฟล์</v>
      </c>
      <c r="E21" t="s">
        <v>461</v>
      </c>
      <c r="F21" t="s">
        <v>24</v>
      </c>
      <c r="G21" s="1">
        <v>46069.803854641206</v>
      </c>
      <c r="H21" s="1">
        <v>46069.803854641206</v>
      </c>
      <c r="I21" s="1">
        <v>46069.803851840275</v>
      </c>
      <c r="J21" t="s">
        <v>452</v>
      </c>
    </row>
    <row r="22" spans="1:10" x14ac:dyDescent="0.45">
      <c r="A22" s="2" t="b">
        <v>1</v>
      </c>
      <c r="B22" s="2" t="b">
        <v>1</v>
      </c>
      <c r="C22" s="2" t="b">
        <v>0</v>
      </c>
      <c r="D22" s="3" t="str">
        <f>HYPERLINK(ECT[[#This Row],[Folder Path]]&amp;ECT[[#This Row],[Name]], "เปิดไฟล์")</f>
        <v>เปิดไฟล์</v>
      </c>
      <c r="E22" t="s">
        <v>462</v>
      </c>
      <c r="F22" t="s">
        <v>24</v>
      </c>
      <c r="G22" s="1">
        <v>46069.804018240742</v>
      </c>
      <c r="H22" s="1">
        <v>46069.804018240742</v>
      </c>
      <c r="I22" s="1">
        <v>46069.804015486108</v>
      </c>
      <c r="J22" t="s">
        <v>452</v>
      </c>
    </row>
    <row r="23" spans="1:10" x14ac:dyDescent="0.45">
      <c r="A23" s="2" t="b">
        <v>1</v>
      </c>
      <c r="B23" s="2" t="b">
        <v>1</v>
      </c>
      <c r="C23" s="2" t="b">
        <v>0</v>
      </c>
      <c r="D23" s="3" t="str">
        <f>HYPERLINK(ECT[[#This Row],[Folder Path]]&amp;ECT[[#This Row],[Name]], "เปิดไฟล์")</f>
        <v>เปิดไฟล์</v>
      </c>
      <c r="E23" t="s">
        <v>463</v>
      </c>
      <c r="F23" t="s">
        <v>24</v>
      </c>
      <c r="G23" s="1">
        <v>46069.80420979167</v>
      </c>
      <c r="H23" s="1">
        <v>46069.80420979167</v>
      </c>
      <c r="I23" s="1">
        <v>46069.804206990739</v>
      </c>
      <c r="J23" t="s">
        <v>452</v>
      </c>
    </row>
    <row r="24" spans="1:10" x14ac:dyDescent="0.45">
      <c r="A24" s="2" t="b">
        <v>1</v>
      </c>
      <c r="B24" s="2" t="b">
        <v>1</v>
      </c>
      <c r="C24" s="2" t="b">
        <v>0</v>
      </c>
      <c r="D24" s="3" t="str">
        <f>HYPERLINK(ECT[[#This Row],[Folder Path]]&amp;ECT[[#This Row],[Name]], "เปิดไฟล์")</f>
        <v>เปิดไฟล์</v>
      </c>
      <c r="E24" t="s">
        <v>464</v>
      </c>
      <c r="F24" t="s">
        <v>24</v>
      </c>
      <c r="G24" s="1">
        <v>46069.804369004632</v>
      </c>
      <c r="H24" s="1">
        <v>46069.804369004632</v>
      </c>
      <c r="I24" s="1">
        <v>46069.804366354168</v>
      </c>
      <c r="J24" t="s">
        <v>452</v>
      </c>
    </row>
    <row r="25" spans="1:10" x14ac:dyDescent="0.45">
      <c r="A25" s="2" t="b">
        <v>1</v>
      </c>
      <c r="B25" s="2" t="b">
        <v>1</v>
      </c>
      <c r="C25" s="2" t="b">
        <v>0</v>
      </c>
      <c r="D25" s="3" t="str">
        <f>HYPERLINK(ECT[[#This Row],[Folder Path]]&amp;ECT[[#This Row],[Name]], "เปิดไฟล์")</f>
        <v>เปิดไฟล์</v>
      </c>
      <c r="E25" t="s">
        <v>465</v>
      </c>
      <c r="F25" t="s">
        <v>24</v>
      </c>
      <c r="G25" s="1">
        <v>46069.804580127318</v>
      </c>
      <c r="H25" s="1">
        <v>46069.804580127318</v>
      </c>
      <c r="I25" s="1">
        <v>46069.804577418981</v>
      </c>
      <c r="J25" t="s">
        <v>452</v>
      </c>
    </row>
    <row r="26" spans="1:10" x14ac:dyDescent="0.45">
      <c r="A26" s="2" t="b">
        <v>1</v>
      </c>
      <c r="B26" s="2" t="b">
        <v>1</v>
      </c>
      <c r="C26" s="2" t="b">
        <v>0</v>
      </c>
      <c r="D26" s="3" t="str">
        <f>HYPERLINK(ECT[[#This Row],[Folder Path]]&amp;ECT[[#This Row],[Name]], "เปิดไฟล์")</f>
        <v>เปิดไฟล์</v>
      </c>
      <c r="E26" t="s">
        <v>466</v>
      </c>
      <c r="F26" t="s">
        <v>24</v>
      </c>
      <c r="G26" s="1">
        <v>46069.804774594908</v>
      </c>
      <c r="H26" s="1">
        <v>46069.804774594908</v>
      </c>
      <c r="I26" s="1">
        <v>46069.804771678238</v>
      </c>
      <c r="J26" t="s">
        <v>452</v>
      </c>
    </row>
    <row r="27" spans="1:10" x14ac:dyDescent="0.45">
      <c r="A27" s="2" t="b">
        <v>1</v>
      </c>
      <c r="B27" s="2" t="b">
        <v>1</v>
      </c>
      <c r="C27" s="2" t="b">
        <v>0</v>
      </c>
      <c r="D27" s="3" t="str">
        <f>HYPERLINK(ECT[[#This Row],[Folder Path]]&amp;ECT[[#This Row],[Name]], "เปิดไฟล์")</f>
        <v>เปิดไฟล์</v>
      </c>
      <c r="E27" t="s">
        <v>468</v>
      </c>
      <c r="F27" t="s">
        <v>24</v>
      </c>
      <c r="G27" s="1">
        <v>46072.42957335648</v>
      </c>
      <c r="H27" s="1">
        <v>46071.808905983795</v>
      </c>
      <c r="I27" s="1">
        <v>46071.808902222219</v>
      </c>
      <c r="J27" t="s">
        <v>469</v>
      </c>
    </row>
    <row r="28" spans="1:10" x14ac:dyDescent="0.45">
      <c r="A28" s="2" t="b">
        <v>1</v>
      </c>
      <c r="B28" s="2" t="b">
        <v>1</v>
      </c>
      <c r="C28" s="2" t="b">
        <v>0</v>
      </c>
      <c r="D28" s="3" t="str">
        <f>HYPERLINK(ECT[[#This Row],[Folder Path]]&amp;ECT[[#This Row],[Name]], "เปิดไฟล์")</f>
        <v>เปิดไฟล์</v>
      </c>
      <c r="E28" t="s">
        <v>470</v>
      </c>
      <c r="F28" t="s">
        <v>24</v>
      </c>
      <c r="G28" s="1">
        <v>46072.459153587966</v>
      </c>
      <c r="H28" s="1">
        <v>46072.459153587966</v>
      </c>
      <c r="I28" s="1">
        <v>46071.80911065972</v>
      </c>
      <c r="J28" t="s">
        <v>469</v>
      </c>
    </row>
    <row r="29" spans="1:10" x14ac:dyDescent="0.45">
      <c r="A29" s="2" t="b">
        <v>1</v>
      </c>
      <c r="B29" s="2" t="b">
        <v>1</v>
      </c>
      <c r="C29" s="2" t="b">
        <v>0</v>
      </c>
      <c r="D29" s="3" t="str">
        <f>HYPERLINK(ECT[[#This Row],[Folder Path]]&amp;ECT[[#This Row],[Name]], "เปิดไฟล์")</f>
        <v>เปิดไฟล์</v>
      </c>
      <c r="E29" t="s">
        <v>471</v>
      </c>
      <c r="F29" t="s">
        <v>24</v>
      </c>
      <c r="G29" s="1">
        <v>46071.809265833333</v>
      </c>
      <c r="H29" s="1">
        <v>46071.809265833333</v>
      </c>
      <c r="I29" s="1">
        <v>46071.809262453702</v>
      </c>
      <c r="J29" t="s">
        <v>469</v>
      </c>
    </row>
    <row r="30" spans="1:10" x14ac:dyDescent="0.45">
      <c r="A30" s="2" t="b">
        <v>1</v>
      </c>
      <c r="B30" s="2" t="b">
        <v>1</v>
      </c>
      <c r="C30" s="2" t="b">
        <v>0</v>
      </c>
      <c r="D30" s="3" t="str">
        <f>HYPERLINK(ECT[[#This Row],[Folder Path]]&amp;ECT[[#This Row],[Name]], "เปิดไฟล์")</f>
        <v>เปิดไฟล์</v>
      </c>
      <c r="E30" t="s">
        <v>472</v>
      </c>
      <c r="F30" t="s">
        <v>24</v>
      </c>
      <c r="G30" s="1">
        <v>46071.80942982639</v>
      </c>
      <c r="H30" s="1">
        <v>46071.80942982639</v>
      </c>
      <c r="I30" s="1">
        <v>46071.809425347223</v>
      </c>
      <c r="J30" t="s">
        <v>469</v>
      </c>
    </row>
    <row r="31" spans="1:10" x14ac:dyDescent="0.45">
      <c r="A31" s="2" t="b">
        <v>1</v>
      </c>
      <c r="B31" s="2" t="b">
        <v>1</v>
      </c>
      <c r="C31" s="2" t="b">
        <v>0</v>
      </c>
      <c r="D31" s="3" t="str">
        <f>HYPERLINK(ECT[[#This Row],[Folder Path]]&amp;ECT[[#This Row],[Name]], "เปิดไฟล์")</f>
        <v>เปิดไฟล์</v>
      </c>
      <c r="E31" t="s">
        <v>473</v>
      </c>
      <c r="F31" t="s">
        <v>24</v>
      </c>
      <c r="G31" s="1">
        <v>46071.809556261571</v>
      </c>
      <c r="H31" s="1">
        <v>46071.809556261571</v>
      </c>
      <c r="I31" s="1">
        <v>46071.809552685183</v>
      </c>
      <c r="J31" t="s">
        <v>469</v>
      </c>
    </row>
    <row r="32" spans="1:10" x14ac:dyDescent="0.45">
      <c r="A32" s="2" t="b">
        <v>1</v>
      </c>
      <c r="B32" s="2" t="b">
        <v>1</v>
      </c>
      <c r="C32" s="2" t="b">
        <v>0</v>
      </c>
      <c r="D32" s="3" t="str">
        <f>HYPERLINK(ECT[[#This Row],[Folder Path]]&amp;ECT[[#This Row],[Name]], "เปิดไฟล์")</f>
        <v>เปิดไฟล์</v>
      </c>
      <c r="E32" t="s">
        <v>474</v>
      </c>
      <c r="F32" t="s">
        <v>24</v>
      </c>
      <c r="G32" s="1">
        <v>46071.809881689813</v>
      </c>
      <c r="H32" s="1">
        <v>46071.809881689813</v>
      </c>
      <c r="I32" s="1">
        <v>46071.809878206019</v>
      </c>
      <c r="J32" t="s">
        <v>469</v>
      </c>
    </row>
    <row r="33" spans="1:10" x14ac:dyDescent="0.45">
      <c r="A33" s="2" t="b">
        <v>1</v>
      </c>
      <c r="B33" s="2" t="b">
        <v>1</v>
      </c>
      <c r="C33" s="2" t="b">
        <v>0</v>
      </c>
      <c r="D33" s="3" t="str">
        <f>HYPERLINK(ECT[[#This Row],[Folder Path]]&amp;ECT[[#This Row],[Name]], "เปิดไฟล์")</f>
        <v>เปิดไฟล์</v>
      </c>
      <c r="E33" t="s">
        <v>475</v>
      </c>
      <c r="F33" t="s">
        <v>24</v>
      </c>
      <c r="G33" s="1">
        <v>46071.810117754627</v>
      </c>
      <c r="H33" s="1">
        <v>46071.810117754627</v>
      </c>
      <c r="I33" s="1">
        <v>46071.810114386572</v>
      </c>
      <c r="J33" t="s">
        <v>469</v>
      </c>
    </row>
    <row r="34" spans="1:10" x14ac:dyDescent="0.45">
      <c r="A34" s="2" t="b">
        <v>1</v>
      </c>
      <c r="B34" s="2" t="b">
        <v>1</v>
      </c>
      <c r="C34" s="2" t="b">
        <v>0</v>
      </c>
      <c r="D34" s="3" t="str">
        <f>HYPERLINK(ECT[[#This Row],[Folder Path]]&amp;ECT[[#This Row],[Name]], "เปิดไฟล์")</f>
        <v>เปิดไฟล์</v>
      </c>
      <c r="E34" t="s">
        <v>476</v>
      </c>
      <c r="F34" t="s">
        <v>24</v>
      </c>
      <c r="G34" s="1">
        <v>46071.810337581017</v>
      </c>
      <c r="H34" s="1">
        <v>46071.810337581017</v>
      </c>
      <c r="I34" s="1">
        <v>46071.810333946756</v>
      </c>
      <c r="J34" t="s">
        <v>469</v>
      </c>
    </row>
    <row r="35" spans="1:10" x14ac:dyDescent="0.45">
      <c r="A35" s="2" t="b">
        <v>1</v>
      </c>
      <c r="B35" s="2" t="b">
        <v>1</v>
      </c>
      <c r="C35" s="2" t="b">
        <v>0</v>
      </c>
      <c r="D35" s="3" t="str">
        <f>HYPERLINK(ECT[[#This Row],[Folder Path]]&amp;ECT[[#This Row],[Name]], "เปิดไฟล์")</f>
        <v>เปิดไฟล์</v>
      </c>
      <c r="E35" t="s">
        <v>477</v>
      </c>
      <c r="F35" t="s">
        <v>24</v>
      </c>
      <c r="G35" s="1">
        <v>46071.81048857639</v>
      </c>
      <c r="H35" s="1">
        <v>46071.81048857639</v>
      </c>
      <c r="I35" s="1">
        <v>46071.810485196758</v>
      </c>
      <c r="J35" t="s">
        <v>469</v>
      </c>
    </row>
    <row r="36" spans="1:10" x14ac:dyDescent="0.45">
      <c r="A36" s="2" t="b">
        <v>1</v>
      </c>
      <c r="B36" s="2" t="b">
        <v>1</v>
      </c>
      <c r="C36" s="2" t="b">
        <v>0</v>
      </c>
      <c r="D36" s="3" t="str">
        <f>HYPERLINK(ECT[[#This Row],[Folder Path]]&amp;ECT[[#This Row],[Name]], "เปิดไฟล์")</f>
        <v>เปิดไฟล์</v>
      </c>
      <c r="E36" t="s">
        <v>478</v>
      </c>
      <c r="F36" t="s">
        <v>24</v>
      </c>
      <c r="G36" s="1">
        <v>46071.810634837966</v>
      </c>
      <c r="H36" s="1">
        <v>46071.810634837966</v>
      </c>
      <c r="I36" s="1">
        <v>46071.810631307868</v>
      </c>
      <c r="J36" t="s">
        <v>469</v>
      </c>
    </row>
    <row r="37" spans="1:10" x14ac:dyDescent="0.45">
      <c r="A37" s="2" t="b">
        <v>1</v>
      </c>
      <c r="B37" s="2" t="b">
        <v>1</v>
      </c>
      <c r="C37" s="2" t="b">
        <v>0</v>
      </c>
      <c r="D37" s="3" t="str">
        <f>HYPERLINK(ECT[[#This Row],[Folder Path]]&amp;ECT[[#This Row],[Name]], "เปิดไฟล์")</f>
        <v>เปิดไฟล์</v>
      </c>
      <c r="E37" t="s">
        <v>479</v>
      </c>
      <c r="F37" t="s">
        <v>24</v>
      </c>
      <c r="G37" s="1">
        <v>46071.810772129633</v>
      </c>
      <c r="H37" s="1">
        <v>46071.810772129633</v>
      </c>
      <c r="I37" s="1">
        <v>46071.810768634263</v>
      </c>
      <c r="J37" t="s">
        <v>469</v>
      </c>
    </row>
    <row r="38" spans="1:10" x14ac:dyDescent="0.45">
      <c r="A38" s="2" t="b">
        <v>1</v>
      </c>
      <c r="B38" s="2" t="b">
        <v>1</v>
      </c>
      <c r="C38" s="2" t="b">
        <v>0</v>
      </c>
      <c r="D38" s="3" t="str">
        <f>HYPERLINK(ECT[[#This Row],[Folder Path]]&amp;ECT[[#This Row],[Name]], "เปิดไฟล์")</f>
        <v>เปิดไฟล์</v>
      </c>
      <c r="E38" t="s">
        <v>480</v>
      </c>
      <c r="F38" t="s">
        <v>24</v>
      </c>
      <c r="G38" s="1">
        <v>46072.429536296295</v>
      </c>
      <c r="H38" s="1">
        <v>46071.826039108797</v>
      </c>
      <c r="I38" s="1">
        <v>46071.810906006947</v>
      </c>
      <c r="J38" t="s">
        <v>469</v>
      </c>
    </row>
    <row r="39" spans="1:10" x14ac:dyDescent="0.45">
      <c r="A39" s="2" t="b">
        <v>1</v>
      </c>
      <c r="B39" s="2" t="b">
        <v>1</v>
      </c>
      <c r="C39" s="2" t="b">
        <v>0</v>
      </c>
      <c r="D39" s="3" t="str">
        <f>HYPERLINK(ECT[[#This Row],[Folder Path]]&amp;ECT[[#This Row],[Name]], "เปิดไฟล์")</f>
        <v>เปิดไฟล์</v>
      </c>
      <c r="E39" t="s">
        <v>481</v>
      </c>
      <c r="F39" t="s">
        <v>24</v>
      </c>
      <c r="G39" s="1">
        <v>46072.429623819444</v>
      </c>
      <c r="H39" s="1">
        <v>46071.811110393515</v>
      </c>
      <c r="I39" s="1">
        <v>46071.811106770831</v>
      </c>
      <c r="J39" t="s">
        <v>469</v>
      </c>
    </row>
    <row r="40" spans="1:10" x14ac:dyDescent="0.45">
      <c r="A40" s="2" t="b">
        <v>1</v>
      </c>
      <c r="B40" s="2" t="b">
        <v>1</v>
      </c>
      <c r="C40" s="2" t="b">
        <v>0</v>
      </c>
      <c r="D40" s="3" t="str">
        <f>HYPERLINK(ECT[[#This Row],[Folder Path]]&amp;ECT[[#This Row],[Name]], "เปิดไฟล์")</f>
        <v>เปิดไฟล์</v>
      </c>
      <c r="E40" t="s">
        <v>482</v>
      </c>
      <c r="F40" t="s">
        <v>24</v>
      </c>
      <c r="G40" s="1">
        <v>46072.763171180559</v>
      </c>
      <c r="H40" s="1">
        <v>46072.763171180559</v>
      </c>
      <c r="I40" s="1">
        <v>46072.763167708334</v>
      </c>
      <c r="J40" t="s">
        <v>483</v>
      </c>
    </row>
    <row r="41" spans="1:10" x14ac:dyDescent="0.45">
      <c r="A41" s="2" t="b">
        <v>1</v>
      </c>
      <c r="B41" s="2" t="b">
        <v>1</v>
      </c>
      <c r="C41" s="2" t="b">
        <v>0</v>
      </c>
      <c r="D41" s="3" t="str">
        <f>HYPERLINK(ECT[[#This Row],[Folder Path]]&amp;ECT[[#This Row],[Name]], "เปิดไฟล์")</f>
        <v>เปิดไฟล์</v>
      </c>
      <c r="E41" t="s">
        <v>484</v>
      </c>
      <c r="F41" t="s">
        <v>24</v>
      </c>
      <c r="G41" s="1">
        <v>46072.763396793984</v>
      </c>
      <c r="H41" s="1">
        <v>46072.763396793984</v>
      </c>
      <c r="I41" s="1">
        <v>46072.763393564812</v>
      </c>
      <c r="J41" t="s">
        <v>483</v>
      </c>
    </row>
    <row r="42" spans="1:10" x14ac:dyDescent="0.45">
      <c r="A42" s="2" t="b">
        <v>1</v>
      </c>
      <c r="B42" s="2" t="b">
        <v>1</v>
      </c>
      <c r="C42" s="2" t="b">
        <v>0</v>
      </c>
      <c r="D42" s="3" t="str">
        <f>HYPERLINK(ECT[[#This Row],[Folder Path]]&amp;ECT[[#This Row],[Name]], "เปิดไฟล์")</f>
        <v>เปิดไฟล์</v>
      </c>
      <c r="E42" t="s">
        <v>485</v>
      </c>
      <c r="F42" t="s">
        <v>24</v>
      </c>
      <c r="G42" s="1">
        <v>46072.763538761574</v>
      </c>
      <c r="H42" s="1">
        <v>46072.763538761574</v>
      </c>
      <c r="I42" s="1">
        <v>46072.763535636572</v>
      </c>
      <c r="J42" t="s">
        <v>483</v>
      </c>
    </row>
    <row r="43" spans="1:10" x14ac:dyDescent="0.45">
      <c r="A43" s="2" t="b">
        <v>1</v>
      </c>
      <c r="B43" s="2" t="b">
        <v>1</v>
      </c>
      <c r="C43" s="2" t="b">
        <v>0</v>
      </c>
      <c r="D43" s="3" t="str">
        <f>HYPERLINK(ECT[[#This Row],[Folder Path]]&amp;ECT[[#This Row],[Name]], "เปิดไฟล์")</f>
        <v>เปิดไฟล์</v>
      </c>
      <c r="E43" t="s">
        <v>486</v>
      </c>
      <c r="F43" t="s">
        <v>24</v>
      </c>
      <c r="G43" s="1">
        <v>46072.763664606478</v>
      </c>
      <c r="H43" s="1">
        <v>46072.763664606478</v>
      </c>
      <c r="I43" s="1">
        <v>46072.763660787037</v>
      </c>
      <c r="J43" t="s">
        <v>483</v>
      </c>
    </row>
    <row r="44" spans="1:10" x14ac:dyDescent="0.45">
      <c r="A44" s="2" t="b">
        <v>1</v>
      </c>
      <c r="B44" s="2" t="b">
        <v>1</v>
      </c>
      <c r="C44" s="2" t="b">
        <v>0</v>
      </c>
      <c r="D44" s="3" t="str">
        <f>HYPERLINK(ECT[[#This Row],[Folder Path]]&amp;ECT[[#This Row],[Name]], "เปิดไฟล์")</f>
        <v>เปิดไฟล์</v>
      </c>
      <c r="E44" t="s">
        <v>487</v>
      </c>
      <c r="F44" t="s">
        <v>24</v>
      </c>
      <c r="G44" s="1">
        <v>46072.76377957176</v>
      </c>
      <c r="H44" s="1">
        <v>46072.76377957176</v>
      </c>
      <c r="I44" s="1">
        <v>46072.763776400461</v>
      </c>
      <c r="J44" t="s">
        <v>483</v>
      </c>
    </row>
    <row r="45" spans="1:10" x14ac:dyDescent="0.45">
      <c r="A45" s="2" t="b">
        <v>1</v>
      </c>
      <c r="B45" s="2" t="b">
        <v>1</v>
      </c>
      <c r="C45" s="2" t="b">
        <v>0</v>
      </c>
      <c r="D45" s="3" t="str">
        <f>HYPERLINK(ECT[[#This Row],[Folder Path]]&amp;ECT[[#This Row],[Name]], "เปิดไฟล์")</f>
        <v>เปิดไฟล์</v>
      </c>
      <c r="E45" t="s">
        <v>488</v>
      </c>
      <c r="F45" t="s">
        <v>24</v>
      </c>
      <c r="G45" s="1">
        <v>46072.763920729165</v>
      </c>
      <c r="H45" s="1">
        <v>46072.763920729165</v>
      </c>
      <c r="I45" s="1">
        <v>46072.763917013886</v>
      </c>
      <c r="J45" t="s">
        <v>483</v>
      </c>
    </row>
    <row r="46" spans="1:10" x14ac:dyDescent="0.45">
      <c r="A46" s="2" t="b">
        <v>1</v>
      </c>
      <c r="B46" s="2" t="b">
        <v>1</v>
      </c>
      <c r="C46" s="2" t="b">
        <v>0</v>
      </c>
      <c r="D46" s="3" t="str">
        <f>HYPERLINK(ECT[[#This Row],[Folder Path]]&amp;ECT[[#This Row],[Name]], "เปิดไฟล์")</f>
        <v>เปิดไฟล์</v>
      </c>
      <c r="E46" t="s">
        <v>489</v>
      </c>
      <c r="F46" t="s">
        <v>24</v>
      </c>
      <c r="G46" s="1">
        <v>46072.764050578706</v>
      </c>
      <c r="H46" s="1">
        <v>46072.764050578706</v>
      </c>
      <c r="I46" s="1">
        <v>46072.764046539349</v>
      </c>
      <c r="J46" t="s">
        <v>483</v>
      </c>
    </row>
    <row r="47" spans="1:10" x14ac:dyDescent="0.45">
      <c r="A47" s="2" t="b">
        <v>1</v>
      </c>
      <c r="B47" s="2" t="b">
        <v>1</v>
      </c>
      <c r="C47" s="2" t="b">
        <v>0</v>
      </c>
      <c r="D47" s="3" t="str">
        <f>HYPERLINK(ECT[[#This Row],[Folder Path]]&amp;ECT[[#This Row],[Name]], "เปิดไฟล์")</f>
        <v>เปิดไฟล์</v>
      </c>
      <c r="E47" t="s">
        <v>490</v>
      </c>
      <c r="F47" t="s">
        <v>24</v>
      </c>
      <c r="G47" s="1">
        <v>46073.422591388888</v>
      </c>
      <c r="H47" s="1">
        <v>46072.831153530089</v>
      </c>
      <c r="I47" s="1">
        <v>46072.764179479163</v>
      </c>
      <c r="J47" t="s">
        <v>483</v>
      </c>
    </row>
    <row r="48" spans="1:10" x14ac:dyDescent="0.45">
      <c r="A48" s="2" t="b">
        <v>1</v>
      </c>
      <c r="B48" s="2" t="b">
        <v>1</v>
      </c>
      <c r="C48" s="2" t="b">
        <v>0</v>
      </c>
      <c r="D48" s="3" t="str">
        <f>HYPERLINK(ECT[[#This Row],[Folder Path]]&amp;ECT[[#This Row],[Name]], "เปิดไฟล์")</f>
        <v>เปิดไฟล์</v>
      </c>
      <c r="E48" t="s">
        <v>491</v>
      </c>
      <c r="F48" t="s">
        <v>24</v>
      </c>
      <c r="G48" s="1">
        <v>46072.764292118052</v>
      </c>
      <c r="H48" s="1">
        <v>46072.764292118052</v>
      </c>
      <c r="I48" s="1">
        <v>46072.764288622682</v>
      </c>
      <c r="J48" t="s">
        <v>483</v>
      </c>
    </row>
    <row r="49" spans="1:10" x14ac:dyDescent="0.45">
      <c r="A49" s="2" t="b">
        <v>1</v>
      </c>
      <c r="B49" s="2" t="b">
        <v>1</v>
      </c>
      <c r="C49" s="2" t="b">
        <v>0</v>
      </c>
      <c r="D49" s="3" t="str">
        <f>HYPERLINK(ECT[[#This Row],[Folder Path]]&amp;ECT[[#This Row],[Name]], "เปิดไฟล์")</f>
        <v>เปิดไฟล์</v>
      </c>
      <c r="E49" t="s">
        <v>492</v>
      </c>
      <c r="F49" t="s">
        <v>24</v>
      </c>
      <c r="G49" s="1">
        <v>46072.764395324077</v>
      </c>
      <c r="H49" s="1">
        <v>46072.764395324077</v>
      </c>
      <c r="I49" s="1">
        <v>46072.764391944445</v>
      </c>
      <c r="J49" t="s">
        <v>483</v>
      </c>
    </row>
    <row r="50" spans="1:10" x14ac:dyDescent="0.45">
      <c r="A50" s="2" t="b">
        <v>1</v>
      </c>
      <c r="B50" s="2" t="b">
        <v>1</v>
      </c>
      <c r="C50" s="2" t="b">
        <v>0</v>
      </c>
      <c r="D50" s="3" t="str">
        <f>HYPERLINK(ECT[[#This Row],[Folder Path]]&amp;ECT[[#This Row],[Name]], "เปิดไฟล์")</f>
        <v>เปิดไฟล์</v>
      </c>
      <c r="E50" t="s">
        <v>493</v>
      </c>
      <c r="F50" t="s">
        <v>24</v>
      </c>
      <c r="G50" s="1">
        <v>46072.764492685186</v>
      </c>
      <c r="H50" s="1">
        <v>46072.764492685186</v>
      </c>
      <c r="I50" s="1">
        <v>46072.764489201392</v>
      </c>
      <c r="J50" t="s">
        <v>483</v>
      </c>
    </row>
    <row r="51" spans="1:10" x14ac:dyDescent="0.45">
      <c r="A51" s="2" t="b">
        <v>1</v>
      </c>
      <c r="B51" s="2" t="b">
        <v>1</v>
      </c>
      <c r="C51" s="2" t="b">
        <v>0</v>
      </c>
      <c r="D51" s="3" t="str">
        <f>HYPERLINK(ECT[[#This Row],[Folder Path]]&amp;ECT[[#This Row],[Name]], "เปิดไฟล์")</f>
        <v>เปิดไฟล์</v>
      </c>
      <c r="E51" t="s">
        <v>494</v>
      </c>
      <c r="F51" t="s">
        <v>24</v>
      </c>
      <c r="G51" s="1">
        <v>46072.764619560185</v>
      </c>
      <c r="H51" s="1">
        <v>46072.764619560185</v>
      </c>
      <c r="I51" s="1">
        <v>46072.764616099535</v>
      </c>
      <c r="J51" t="s">
        <v>483</v>
      </c>
    </row>
    <row r="52" spans="1:10" x14ac:dyDescent="0.45">
      <c r="A52" s="2" t="b">
        <v>1</v>
      </c>
      <c r="B52" s="2" t="b">
        <v>1</v>
      </c>
      <c r="C52" s="2" t="b">
        <v>0</v>
      </c>
      <c r="D52" s="3" t="str">
        <f>HYPERLINK(ECT[[#This Row],[Folder Path]]&amp;ECT[[#This Row],[Name]], "เปิดไฟล์")</f>
        <v>เปิดไฟล์</v>
      </c>
      <c r="E52" t="s">
        <v>495</v>
      </c>
      <c r="F52" t="s">
        <v>24</v>
      </c>
      <c r="G52" s="1">
        <v>46107.434610300923</v>
      </c>
      <c r="H52" s="1">
        <v>46083.738724733797</v>
      </c>
      <c r="I52" s="1">
        <v>46083.738584560182</v>
      </c>
      <c r="J52" t="s">
        <v>496</v>
      </c>
    </row>
    <row r="53" spans="1:10" x14ac:dyDescent="0.45">
      <c r="A53" s="2" t="b">
        <v>1</v>
      </c>
      <c r="B53" s="2" t="b">
        <v>1</v>
      </c>
      <c r="C53" s="2" t="b">
        <v>0</v>
      </c>
      <c r="D53" s="3" t="str">
        <f>HYPERLINK(ECT[[#This Row],[Folder Path]]&amp;ECT[[#This Row],[Name]], "เปิดไฟล์")</f>
        <v>เปิดไฟล์</v>
      </c>
      <c r="E53" t="s">
        <v>497</v>
      </c>
      <c r="F53" t="s">
        <v>24</v>
      </c>
      <c r="G53" s="1">
        <v>46107.434955613426</v>
      </c>
      <c r="H53" s="1">
        <v>46083.739764618054</v>
      </c>
      <c r="I53" s="1">
        <v>46083.739744039354</v>
      </c>
      <c r="J53" t="s">
        <v>496</v>
      </c>
    </row>
    <row r="54" spans="1:10" x14ac:dyDescent="0.45">
      <c r="A54" s="2" t="b">
        <v>1</v>
      </c>
      <c r="B54" s="2" t="b">
        <v>1</v>
      </c>
      <c r="C54" s="2" t="b">
        <v>0</v>
      </c>
      <c r="D54" s="3" t="str">
        <f>HYPERLINK(ECT[[#This Row],[Folder Path]]&amp;ECT[[#This Row],[Name]], "เปิดไฟล์")</f>
        <v>เปิดไฟล์</v>
      </c>
      <c r="E54" t="s">
        <v>498</v>
      </c>
      <c r="F54" t="s">
        <v>24</v>
      </c>
      <c r="G54" s="1">
        <v>46085.456823379631</v>
      </c>
      <c r="H54" s="1">
        <v>46083.740010254631</v>
      </c>
      <c r="I54" s="1">
        <v>46083.739989571761</v>
      </c>
      <c r="J54" t="s">
        <v>496</v>
      </c>
    </row>
    <row r="55" spans="1:10" x14ac:dyDescent="0.45">
      <c r="A55" s="2" t="b">
        <v>1</v>
      </c>
      <c r="B55" s="2" t="b">
        <v>1</v>
      </c>
      <c r="C55" s="2" t="b">
        <v>0</v>
      </c>
      <c r="D55" s="3" t="str">
        <f>HYPERLINK(ECT[[#This Row],[Folder Path]]&amp;ECT[[#This Row],[Name]], "เปิดไฟล์")</f>
        <v>เปิดไฟล์</v>
      </c>
      <c r="E55" t="s">
        <v>499</v>
      </c>
      <c r="F55" t="s">
        <v>24</v>
      </c>
      <c r="G55" s="1">
        <v>46085.457020555557</v>
      </c>
      <c r="H55" s="1">
        <v>46083.740920868055</v>
      </c>
      <c r="I55" s="1">
        <v>46083.740900266203</v>
      </c>
      <c r="J55" t="s">
        <v>496</v>
      </c>
    </row>
    <row r="56" spans="1:10" x14ac:dyDescent="0.45">
      <c r="A56" s="2" t="b">
        <v>1</v>
      </c>
      <c r="B56" s="2" t="b">
        <v>1</v>
      </c>
      <c r="C56" s="2" t="b">
        <v>0</v>
      </c>
      <c r="D56" s="3" t="str">
        <f>HYPERLINK(ECT[[#This Row],[Folder Path]]&amp;ECT[[#This Row],[Name]], "เปิดไฟล์")</f>
        <v>เปิดไฟล์</v>
      </c>
      <c r="E56" t="s">
        <v>500</v>
      </c>
      <c r="F56" t="s">
        <v>24</v>
      </c>
      <c r="G56" s="1">
        <v>46085.457160601851</v>
      </c>
      <c r="H56" s="1">
        <v>46083.741243645833</v>
      </c>
      <c r="I56" s="1">
        <v>46083.741223182871</v>
      </c>
      <c r="J56" t="s">
        <v>496</v>
      </c>
    </row>
    <row r="57" spans="1:10" x14ac:dyDescent="0.45">
      <c r="A57" s="2" t="b">
        <v>1</v>
      </c>
      <c r="B57" s="2" t="b">
        <v>1</v>
      </c>
      <c r="C57" s="2" t="b">
        <v>0</v>
      </c>
      <c r="D57" s="3" t="str">
        <f>HYPERLINK(ECT[[#This Row],[Folder Path]]&amp;ECT[[#This Row],[Name]], "เปิดไฟล์")</f>
        <v>เปิดไฟล์</v>
      </c>
      <c r="E57" t="s">
        <v>501</v>
      </c>
      <c r="F57" t="s">
        <v>24</v>
      </c>
      <c r="G57" s="1">
        <v>46107.435384560187</v>
      </c>
      <c r="H57" s="1">
        <v>46083.742775868057</v>
      </c>
      <c r="I57" s="1">
        <v>46083.742755370367</v>
      </c>
      <c r="J57" t="s">
        <v>496</v>
      </c>
    </row>
    <row r="58" spans="1:10" x14ac:dyDescent="0.45">
      <c r="A58" s="2" t="b">
        <v>1</v>
      </c>
      <c r="B58" s="2" t="b">
        <v>1</v>
      </c>
      <c r="C58" s="2" t="b">
        <v>0</v>
      </c>
      <c r="D58" s="3" t="str">
        <f>HYPERLINK(ECT[[#This Row],[Folder Path]]&amp;ECT[[#This Row],[Name]], "เปิดไฟล์")</f>
        <v>เปิดไฟล์</v>
      </c>
      <c r="E58" t="s">
        <v>502</v>
      </c>
      <c r="F58" t="s">
        <v>24</v>
      </c>
      <c r="G58" s="1">
        <v>46085.45742554398</v>
      </c>
      <c r="H58" s="1">
        <v>46083.742454363426</v>
      </c>
      <c r="I58" s="1">
        <v>46083.742433807871</v>
      </c>
      <c r="J58" t="s">
        <v>496</v>
      </c>
    </row>
    <row r="59" spans="1:10" x14ac:dyDescent="0.45">
      <c r="A59" s="2" t="b">
        <v>1</v>
      </c>
      <c r="B59" s="2" t="b">
        <v>1</v>
      </c>
      <c r="C59" s="2" t="b">
        <v>0</v>
      </c>
      <c r="D59" s="3" t="str">
        <f>HYPERLINK(ECT[[#This Row],[Folder Path]]&amp;ECT[[#This Row],[Name]], "เปิดไฟล์")</f>
        <v>เปิดไฟล์</v>
      </c>
      <c r="E59" t="s">
        <v>503</v>
      </c>
      <c r="F59" t="s">
        <v>24</v>
      </c>
      <c r="G59" s="1">
        <v>46085.457534305555</v>
      </c>
      <c r="H59" s="1">
        <v>46083.743376874998</v>
      </c>
      <c r="I59" s="1">
        <v>46083.743373437501</v>
      </c>
      <c r="J59" t="s">
        <v>496</v>
      </c>
    </row>
    <row r="60" spans="1:10" x14ac:dyDescent="0.45">
      <c r="A60" s="2" t="b">
        <v>1</v>
      </c>
      <c r="B60" s="2" t="b">
        <v>1</v>
      </c>
      <c r="C60" s="2" t="b">
        <v>0</v>
      </c>
      <c r="D60" s="3" t="str">
        <f>HYPERLINK(ECT[[#This Row],[Folder Path]]&amp;ECT[[#This Row],[Name]], "เปิดไฟล์")</f>
        <v>เปิดไฟล์</v>
      </c>
      <c r="E60" t="s">
        <v>504</v>
      </c>
      <c r="F60" t="s">
        <v>24</v>
      </c>
      <c r="G60" s="1">
        <v>46085.457666886577</v>
      </c>
      <c r="H60" s="1">
        <v>46083.74354758102</v>
      </c>
      <c r="I60" s="1">
        <v>46083.743544351855</v>
      </c>
      <c r="J60" t="s">
        <v>496</v>
      </c>
    </row>
    <row r="61" spans="1:10" x14ac:dyDescent="0.45">
      <c r="A61" s="2" t="b">
        <v>1</v>
      </c>
      <c r="B61" s="2" t="b">
        <v>1</v>
      </c>
      <c r="C61" s="2" t="b">
        <v>0</v>
      </c>
      <c r="D61" s="3" t="str">
        <f>HYPERLINK(ECT[[#This Row],[Folder Path]]&amp;ECT[[#This Row],[Name]], "เปิดไฟล์")</f>
        <v>เปิดไฟล์</v>
      </c>
      <c r="E61" t="s">
        <v>505</v>
      </c>
      <c r="F61" t="s">
        <v>24</v>
      </c>
      <c r="G61" s="1">
        <v>46085.457883946758</v>
      </c>
      <c r="H61" s="1">
        <v>46083.743707870373</v>
      </c>
      <c r="I61" s="1">
        <v>46083.74370496528</v>
      </c>
      <c r="J61" t="s">
        <v>496</v>
      </c>
    </row>
    <row r="62" spans="1:10" x14ac:dyDescent="0.45">
      <c r="A62" s="2" t="b">
        <v>1</v>
      </c>
      <c r="B62" s="2" t="b">
        <v>1</v>
      </c>
      <c r="C62" s="2" t="b">
        <v>0</v>
      </c>
      <c r="D62" s="3" t="str">
        <f>HYPERLINK(ECT[[#This Row],[Folder Path]]&amp;ECT[[#This Row],[Name]], "เปิดไฟล์")</f>
        <v>เปิดไฟล์</v>
      </c>
      <c r="E62" t="s">
        <v>506</v>
      </c>
      <c r="F62" t="s">
        <v>24</v>
      </c>
      <c r="G62" s="1">
        <v>46085.458080231481</v>
      </c>
      <c r="H62" s="1">
        <v>46083.744118391201</v>
      </c>
      <c r="I62" s="1">
        <v>46083.744115138892</v>
      </c>
      <c r="J62" t="s">
        <v>496</v>
      </c>
    </row>
    <row r="63" spans="1:10" x14ac:dyDescent="0.45">
      <c r="A63" s="2" t="b">
        <v>1</v>
      </c>
      <c r="B63" s="2" t="b">
        <v>1</v>
      </c>
      <c r="C63" s="2" t="b">
        <v>0</v>
      </c>
      <c r="D63" s="3" t="str">
        <f>HYPERLINK(ECT[[#This Row],[Folder Path]]&amp;ECT[[#This Row],[Name]], "เปิดไฟล์")</f>
        <v>เปิดไฟล์</v>
      </c>
      <c r="E63" t="s">
        <v>507</v>
      </c>
      <c r="F63" t="s">
        <v>24</v>
      </c>
      <c r="G63" s="1">
        <v>46085.458248877316</v>
      </c>
      <c r="H63" s="1">
        <v>46083.744496192128</v>
      </c>
      <c r="I63" s="1">
        <v>46083.744493449078</v>
      </c>
      <c r="J63" t="s">
        <v>496</v>
      </c>
    </row>
    <row r="64" spans="1:10" x14ac:dyDescent="0.45">
      <c r="A64" s="2" t="b">
        <v>1</v>
      </c>
      <c r="B64" s="2" t="b">
        <v>1</v>
      </c>
      <c r="C64" s="2" t="b">
        <v>0</v>
      </c>
      <c r="D64" s="3" t="str">
        <f>HYPERLINK(ECT[[#This Row],[Folder Path]]&amp;ECT[[#This Row],[Name]], "เปิดไฟล์")</f>
        <v>เปิดไฟล์</v>
      </c>
      <c r="E64" t="s">
        <v>508</v>
      </c>
      <c r="F64" t="s">
        <v>24</v>
      </c>
      <c r="G64" s="1">
        <v>46085.458340231482</v>
      </c>
      <c r="H64" s="1">
        <v>46083.744843009263</v>
      </c>
      <c r="I64" s="1">
        <v>46083.744840150466</v>
      </c>
      <c r="J64" t="s">
        <v>496</v>
      </c>
    </row>
    <row r="65" spans="1:10" x14ac:dyDescent="0.45">
      <c r="A65" s="2" t="b">
        <v>1</v>
      </c>
      <c r="B65" s="2" t="b">
        <v>1</v>
      </c>
      <c r="C65" s="2" t="b">
        <v>0</v>
      </c>
      <c r="D65" s="3" t="str">
        <f>HYPERLINK(ECT[[#This Row],[Folder Path]]&amp;ECT[[#This Row],[Name]], "เปิดไฟล์")</f>
        <v>เปิดไฟล์</v>
      </c>
      <c r="E65" t="s">
        <v>509</v>
      </c>
      <c r="F65" t="s">
        <v>24</v>
      </c>
      <c r="G65" s="1">
        <v>46085.458453148145</v>
      </c>
      <c r="H65" s="1">
        <v>46083.745059803237</v>
      </c>
      <c r="I65" s="1">
        <v>46083.745057048611</v>
      </c>
      <c r="J65" t="s">
        <v>496</v>
      </c>
    </row>
    <row r="66" spans="1:10" x14ac:dyDescent="0.45">
      <c r="A66" s="2" t="b">
        <v>1</v>
      </c>
      <c r="B66" s="2" t="b">
        <v>1</v>
      </c>
      <c r="C66" s="2" t="b">
        <v>0</v>
      </c>
      <c r="D66" s="3" t="str">
        <f>HYPERLINK(ECT[[#This Row],[Folder Path]]&amp;ECT[[#This Row],[Name]], "เปิดไฟล์")</f>
        <v>เปิดไฟล์</v>
      </c>
      <c r="E66" t="s">
        <v>510</v>
      </c>
      <c r="F66" t="s">
        <v>24</v>
      </c>
      <c r="G66" s="1">
        <v>46085.458557500002</v>
      </c>
      <c r="H66" s="1">
        <v>46083.745284537035</v>
      </c>
      <c r="I66" s="1">
        <v>46083.745281574076</v>
      </c>
      <c r="J66" t="s">
        <v>496</v>
      </c>
    </row>
    <row r="67" spans="1:10" x14ac:dyDescent="0.45">
      <c r="A67" s="2" t="b">
        <v>1</v>
      </c>
      <c r="B67" s="2" t="b">
        <v>1</v>
      </c>
      <c r="C67" s="2" t="b">
        <v>0</v>
      </c>
      <c r="D67" s="3" t="str">
        <f>HYPERLINK(ECT[[#This Row],[Folder Path]]&amp;ECT[[#This Row],[Name]], "เปิดไฟล์")</f>
        <v>เปิดไฟล์</v>
      </c>
      <c r="E67" t="s">
        <v>511</v>
      </c>
      <c r="F67" t="s">
        <v>24</v>
      </c>
      <c r="G67" s="1">
        <v>46085.458647476851</v>
      </c>
      <c r="H67" s="1">
        <v>46083.745448865739</v>
      </c>
      <c r="I67" s="1">
        <v>46083.745446145833</v>
      </c>
      <c r="J67" t="s">
        <v>496</v>
      </c>
    </row>
    <row r="68" spans="1:10" x14ac:dyDescent="0.45">
      <c r="A68" s="2" t="b">
        <v>1</v>
      </c>
      <c r="B68" s="2" t="b">
        <v>1</v>
      </c>
      <c r="C68" s="2" t="b">
        <v>0</v>
      </c>
      <c r="D68" s="3" t="str">
        <f>HYPERLINK(ECT[[#This Row],[Folder Path]]&amp;ECT[[#This Row],[Name]], "เปิดไฟล์")</f>
        <v>เปิดไฟล์</v>
      </c>
      <c r="E68" t="s">
        <v>512</v>
      </c>
      <c r="F68" t="s">
        <v>24</v>
      </c>
      <c r="G68" s="1">
        <v>46085.458754039355</v>
      </c>
      <c r="H68" s="1">
        <v>46083.745689791664</v>
      </c>
      <c r="I68" s="1">
        <v>46083.745687037037</v>
      </c>
      <c r="J68" t="s">
        <v>496</v>
      </c>
    </row>
    <row r="69" spans="1:10" x14ac:dyDescent="0.45">
      <c r="A69" s="2" t="b">
        <v>1</v>
      </c>
      <c r="B69" s="2" t="b">
        <v>1</v>
      </c>
      <c r="C69" s="2" t="b">
        <v>0</v>
      </c>
      <c r="D69" s="3" t="str">
        <f>HYPERLINK(ECT[[#This Row],[Folder Path]]&amp;ECT[[#This Row],[Name]], "เปิดไฟล์")</f>
        <v>เปิดไฟล์</v>
      </c>
      <c r="E69" t="s">
        <v>513</v>
      </c>
      <c r="F69" t="s">
        <v>24</v>
      </c>
      <c r="G69" s="1">
        <v>46085.458869062502</v>
      </c>
      <c r="H69" s="1">
        <v>46083.74595931713</v>
      </c>
      <c r="I69" s="1">
        <v>46083.745956273146</v>
      </c>
      <c r="J69" t="s">
        <v>496</v>
      </c>
    </row>
    <row r="70" spans="1:10" x14ac:dyDescent="0.45">
      <c r="A70" s="2" t="b">
        <v>1</v>
      </c>
      <c r="B70" s="2" t="b">
        <v>1</v>
      </c>
      <c r="C70" s="2" t="b">
        <v>0</v>
      </c>
      <c r="D70" s="3" t="str">
        <f>HYPERLINK(ECT[[#This Row],[Folder Path]]&amp;ECT[[#This Row],[Name]], "เปิดไฟล์")</f>
        <v>เปิดไฟล์</v>
      </c>
      <c r="E70" t="s">
        <v>514</v>
      </c>
      <c r="F70" t="s">
        <v>24</v>
      </c>
      <c r="G70" s="1">
        <v>46085.458962002318</v>
      </c>
      <c r="H70" s="1">
        <v>46083.746271087963</v>
      </c>
      <c r="I70" s="1">
        <v>46083.746268229166</v>
      </c>
      <c r="J70" t="s">
        <v>496</v>
      </c>
    </row>
    <row r="71" spans="1:10" x14ac:dyDescent="0.45">
      <c r="A71" s="2" t="b">
        <v>1</v>
      </c>
      <c r="B71" s="2" t="b">
        <v>1</v>
      </c>
      <c r="C71" s="2" t="b">
        <v>0</v>
      </c>
      <c r="D71" s="3" t="str">
        <f>HYPERLINK(ECT[[#This Row],[Folder Path]]&amp;ECT[[#This Row],[Name]], "เปิดไฟล์")</f>
        <v>เปิดไฟล์</v>
      </c>
      <c r="E71" t="s">
        <v>515</v>
      </c>
      <c r="F71" t="s">
        <v>24</v>
      </c>
      <c r="G71" s="1">
        <v>46085.459063298615</v>
      </c>
      <c r="H71" s="1">
        <v>46083.74645697917</v>
      </c>
      <c r="I71" s="1">
        <v>46083.746454189815</v>
      </c>
      <c r="J71" t="s">
        <v>496</v>
      </c>
    </row>
    <row r="72" spans="1:10" x14ac:dyDescent="0.45">
      <c r="A72" s="2" t="b">
        <v>1</v>
      </c>
      <c r="B72" s="2" t="b">
        <v>1</v>
      </c>
      <c r="C72" s="2" t="b">
        <v>0</v>
      </c>
      <c r="D72" s="3" t="str">
        <f>HYPERLINK(ECT[[#This Row],[Folder Path]]&amp;ECT[[#This Row],[Name]], "เปิดไฟล์")</f>
        <v>เปิดไฟล์</v>
      </c>
      <c r="E72" t="s">
        <v>516</v>
      </c>
      <c r="F72" t="s">
        <v>24</v>
      </c>
      <c r="G72" s="1">
        <v>46107.435831180555</v>
      </c>
      <c r="H72" s="1">
        <v>46083.746912627314</v>
      </c>
      <c r="I72" s="1">
        <v>46083.746909861111</v>
      </c>
      <c r="J72" t="s">
        <v>496</v>
      </c>
    </row>
    <row r="73" spans="1:10" x14ac:dyDescent="0.45">
      <c r="A73" s="2" t="b">
        <v>1</v>
      </c>
      <c r="B73" s="2" t="b">
        <v>1</v>
      </c>
      <c r="C73" s="2" t="b">
        <v>0</v>
      </c>
      <c r="D73" s="3" t="str">
        <f>HYPERLINK(ECT[[#This Row],[Folder Path]]&amp;ECT[[#This Row],[Name]], "เปิดไฟล์")</f>
        <v>เปิดไฟล์</v>
      </c>
      <c r="E73" t="s">
        <v>517</v>
      </c>
      <c r="F73" t="s">
        <v>24</v>
      </c>
      <c r="G73" s="1">
        <v>46085.459237314812</v>
      </c>
      <c r="H73" s="1">
        <v>46083.74709434028</v>
      </c>
      <c r="I73" s="1">
        <v>46083.747091666664</v>
      </c>
      <c r="J73" t="s">
        <v>496</v>
      </c>
    </row>
    <row r="74" spans="1:10" x14ac:dyDescent="0.45">
      <c r="A74" s="2" t="b">
        <v>1</v>
      </c>
      <c r="B74" s="2" t="b">
        <v>1</v>
      </c>
      <c r="C74" s="2" t="b">
        <v>0</v>
      </c>
      <c r="D74" s="3" t="str">
        <f>HYPERLINK(ECT[[#This Row],[Folder Path]]&amp;ECT[[#This Row],[Name]], "เปิดไฟล์")</f>
        <v>เปิดไฟล์</v>
      </c>
      <c r="E74" t="s">
        <v>518</v>
      </c>
      <c r="F74" t="s">
        <v>24</v>
      </c>
      <c r="G74" s="1">
        <v>46085.45945707176</v>
      </c>
      <c r="H74" s="1">
        <v>46083.747294988425</v>
      </c>
      <c r="I74" s="1">
        <v>46083.747292141205</v>
      </c>
      <c r="J74" t="s">
        <v>496</v>
      </c>
    </row>
    <row r="75" spans="1:10" x14ac:dyDescent="0.45">
      <c r="A75" s="2" t="b">
        <v>1</v>
      </c>
      <c r="B75" s="2" t="b">
        <v>1</v>
      </c>
      <c r="C75" s="2" t="b">
        <v>0</v>
      </c>
      <c r="D75" s="3" t="str">
        <f>HYPERLINK(ECT[[#This Row],[Folder Path]]&amp;ECT[[#This Row],[Name]], "เปิดไฟล์")</f>
        <v>เปิดไฟล์</v>
      </c>
      <c r="E75" t="s">
        <v>519</v>
      </c>
      <c r="F75" t="s">
        <v>24</v>
      </c>
      <c r="G75" s="1">
        <v>46085.459647962962</v>
      </c>
      <c r="H75" s="1">
        <v>46083.747523599537</v>
      </c>
      <c r="I75" s="1">
        <v>46083.747520937497</v>
      </c>
      <c r="J75" t="s">
        <v>496</v>
      </c>
    </row>
    <row r="76" spans="1:10" x14ac:dyDescent="0.45">
      <c r="A76" s="2" t="b">
        <v>1</v>
      </c>
      <c r="B76" s="2" t="b">
        <v>1</v>
      </c>
      <c r="C76" s="2" t="b">
        <v>0</v>
      </c>
      <c r="D76" s="3" t="str">
        <f>HYPERLINK(ECT[[#This Row],[Folder Path]]&amp;ECT[[#This Row],[Name]], "เปิดไฟล์")</f>
        <v>เปิดไฟล์</v>
      </c>
      <c r="E76" t="s">
        <v>520</v>
      </c>
      <c r="F76" t="s">
        <v>24</v>
      </c>
      <c r="G76" s="1">
        <v>46085.459755115742</v>
      </c>
      <c r="H76" s="1">
        <v>46083.747739872684</v>
      </c>
      <c r="I76" s="1">
        <v>46083.747737175923</v>
      </c>
      <c r="J76" t="s">
        <v>496</v>
      </c>
    </row>
    <row r="77" spans="1:10" x14ac:dyDescent="0.45">
      <c r="A77" s="2" t="b">
        <v>1</v>
      </c>
      <c r="B77" s="2" t="b">
        <v>1</v>
      </c>
      <c r="C77" s="7" t="b">
        <v>1</v>
      </c>
      <c r="D77" s="3" t="str">
        <f>HYPERLINK(ECT[[#This Row],[Folder Path]]&amp;ECT[[#This Row],[Name]], "เปิดไฟล์")</f>
        <v>เปิดไฟล์</v>
      </c>
      <c r="E77" t="s">
        <v>531</v>
      </c>
      <c r="F77" t="s">
        <v>24</v>
      </c>
      <c r="G77" s="1">
        <v>46107.433935300927</v>
      </c>
      <c r="H77" s="1">
        <v>46086.430278159722</v>
      </c>
      <c r="I77" s="1">
        <v>46086.430275555555</v>
      </c>
      <c r="J77" t="s">
        <v>532</v>
      </c>
    </row>
    <row r="78" spans="1:10" x14ac:dyDescent="0.45">
      <c r="A78" s="2" t="b">
        <v>1</v>
      </c>
      <c r="B78" s="2" t="b">
        <v>1</v>
      </c>
      <c r="C78" s="2" t="b">
        <v>1</v>
      </c>
      <c r="D78" s="3" t="str">
        <f>HYPERLINK(ECT[[#This Row],[Folder Path]]&amp;ECT[[#This Row],[Name]], "เปิดไฟล์")</f>
        <v>เปิดไฟล์</v>
      </c>
      <c r="E78" t="s">
        <v>533</v>
      </c>
      <c r="F78" t="s">
        <v>24</v>
      </c>
      <c r="G78" s="1">
        <v>46107.437081157404</v>
      </c>
      <c r="H78" s="1">
        <v>46086.430391782407</v>
      </c>
      <c r="I78" s="1">
        <v>46086.430389629626</v>
      </c>
      <c r="J78" t="s">
        <v>532</v>
      </c>
    </row>
    <row r="79" spans="1:10" x14ac:dyDescent="0.45">
      <c r="A79" s="2" t="b">
        <v>1</v>
      </c>
      <c r="B79" s="2" t="b">
        <v>1</v>
      </c>
      <c r="C79" s="2" t="b">
        <v>1</v>
      </c>
      <c r="D79" s="3" t="str">
        <f>HYPERLINK(ECT[[#This Row],[Folder Path]]&amp;ECT[[#This Row],[Name]], "เปิดไฟล์")</f>
        <v>เปิดไฟล์</v>
      </c>
      <c r="E79" t="s">
        <v>534</v>
      </c>
      <c r="F79" t="s">
        <v>24</v>
      </c>
      <c r="G79" s="1">
        <v>46107.437244953704</v>
      </c>
      <c r="H79" s="1">
        <v>46086.570817395834</v>
      </c>
      <c r="I79" s="1">
        <v>46086.57006554398</v>
      </c>
      <c r="J79" t="s">
        <v>532</v>
      </c>
    </row>
    <row r="80" spans="1:10" x14ac:dyDescent="0.45">
      <c r="A80" s="2" t="b">
        <v>1</v>
      </c>
      <c r="B80" s="2" t="b">
        <v>1</v>
      </c>
      <c r="C80" s="2" t="b">
        <v>1</v>
      </c>
      <c r="D80" s="3" t="str">
        <f>HYPERLINK(ECT[[#This Row],[Folder Path]]&amp;ECT[[#This Row],[Name]], "เปิดไฟล์")</f>
        <v>เปิดไฟล์</v>
      </c>
      <c r="E80" t="s">
        <v>546</v>
      </c>
      <c r="F80" t="s">
        <v>24</v>
      </c>
      <c r="G80" s="1">
        <v>46107.437339178243</v>
      </c>
      <c r="H80" s="1">
        <v>46104.596235868055</v>
      </c>
      <c r="I80" s="1">
        <v>46098.733807789351</v>
      </c>
      <c r="J80" t="s">
        <v>547</v>
      </c>
    </row>
    <row r="81" spans="1:10" x14ac:dyDescent="0.45">
      <c r="A81" s="2" t="b">
        <v>1</v>
      </c>
      <c r="B81" s="2" t="b">
        <v>1</v>
      </c>
      <c r="C81" s="2" t="b">
        <v>1</v>
      </c>
      <c r="D81" s="3" t="str">
        <f>HYPERLINK(ECT[[#This Row],[Folder Path]]&amp;ECT[[#This Row],[Name]], "เปิดไฟล์")</f>
        <v>เปิดไฟล์</v>
      </c>
      <c r="E81" t="s">
        <v>555</v>
      </c>
      <c r="F81" t="s">
        <v>24</v>
      </c>
      <c r="G81" s="1">
        <v>46107.433418657405</v>
      </c>
      <c r="H81" s="1">
        <v>46104.77728884259</v>
      </c>
      <c r="I81" s="1">
        <v>46104.777282442126</v>
      </c>
      <c r="J81" t="s">
        <v>556</v>
      </c>
    </row>
    <row r="82" spans="1:10" x14ac:dyDescent="0.45">
      <c r="A82" s="2" t="b">
        <v>1</v>
      </c>
      <c r="B82" s="2" t="b">
        <v>1</v>
      </c>
      <c r="C82" s="2" t="b">
        <v>1</v>
      </c>
      <c r="D82" s="3" t="str">
        <f>HYPERLINK(ECT[[#This Row],[Folder Path]]&amp;ECT[[#This Row],[Name]], "เปิดไฟล์")</f>
        <v>เปิดไฟล์</v>
      </c>
      <c r="E82" t="s">
        <v>557</v>
      </c>
      <c r="F82" t="s">
        <v>24</v>
      </c>
      <c r="G82" s="1">
        <v>46107.437594675925</v>
      </c>
      <c r="H82" s="1">
        <v>46104.777410381947</v>
      </c>
      <c r="I82" s="1">
        <v>46104.777406064815</v>
      </c>
      <c r="J82" t="s">
        <v>556</v>
      </c>
    </row>
    <row r="83" spans="1:10" x14ac:dyDescent="0.45">
      <c r="A83" s="2" t="b">
        <v>1</v>
      </c>
      <c r="B83" s="2" t="b">
        <v>1</v>
      </c>
      <c r="C83" s="2" t="b">
        <v>1</v>
      </c>
      <c r="D83" s="3" t="str">
        <f>HYPERLINK(ECT[[#This Row],[Folder Path]]&amp;ECT[[#This Row],[Name]], "เปิดไฟล์")</f>
        <v>เปิดไฟล์</v>
      </c>
      <c r="E83" t="s">
        <v>558</v>
      </c>
      <c r="F83" t="s">
        <v>24</v>
      </c>
      <c r="G83" s="1">
        <v>46107.713616111112</v>
      </c>
      <c r="H83" s="1">
        <v>46104.777575798609</v>
      </c>
      <c r="I83" s="1">
        <v>46104.77757150463</v>
      </c>
      <c r="J83" t="s">
        <v>556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893C-6237-48E4-9E2B-782A2BF076EE}">
  <dimension ref="A1"/>
  <sheetViews>
    <sheetView workbookViewId="0"/>
  </sheetViews>
  <sheetFormatPr defaultRowHeight="16.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36A8433FD13B694D8AED416166C618AB" ma:contentTypeVersion="4" ma:contentTypeDescription="สร้างเอกสารใหม่" ma:contentTypeScope="" ma:versionID="e0eaf222bb4d0f0b930d477bef5946b9">
  <xsd:schema xmlns:xsd="http://www.w3.org/2001/XMLSchema" xmlns:xs="http://www.w3.org/2001/XMLSchema" xmlns:p="http://schemas.microsoft.com/office/2006/metadata/properties" xmlns:ns3="6f1da1ab-f5d2-4055-8871-f772415574ed" targetNamespace="http://schemas.microsoft.com/office/2006/metadata/properties" ma:root="true" ma:fieldsID="4e7ac34e248a5b6873ae801e5db2f617" ns3:_="">
    <xsd:import namespace="6f1da1ab-f5d2-4055-8871-f772415574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1da1ab-f5d2-4055-8871-f772415574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903511AB-F2EB-4723-85D9-39E47E0E6F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1da1ab-f5d2-4055-8871-f772415574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5CE6A3-4943-4EE5-9E43-79FA527DB4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E4A78E-14D8-4233-BC16-16AFC13FF54B}">
  <ds:schemaRefs>
    <ds:schemaRef ds:uri="http://schemas.microsoft.com/office/infopath/2007/PartnerControls"/>
    <ds:schemaRef ds:uri="http://schemas.microsoft.com/office/2006/documentManagement/types"/>
    <ds:schemaRef ds:uri="6f1da1ab-f5d2-4055-8871-f772415574ed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2922C963-0C50-41B8-BCF1-7B6C027B99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ERP</vt:lpstr>
      <vt:lpstr>SKC</vt:lpstr>
      <vt:lpstr>burgundy-std</vt:lpstr>
      <vt:lpstr>burgundy-knex</vt:lpstr>
      <vt:lpstr>NPRU</vt:lpstr>
      <vt:lpstr>PGVIM</vt:lpstr>
      <vt:lpstr>ICCS</vt:lpstr>
      <vt:lpstr>ECT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Supawich Jlampanichyakul</dc:creator>
  <cp:lastModifiedBy>Supawich Jlampanichyakul</cp:lastModifiedBy>
  <dcterms:created xsi:type="dcterms:W3CDTF">2025-08-26T09:18:10Z</dcterms:created>
  <dcterms:modified xsi:type="dcterms:W3CDTF">2026-03-26T10:12:34Z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0x01010036A8433FD13B694D8AED416166C618AB</vt:lpwstr>
  </property>
</Properties>
</file>